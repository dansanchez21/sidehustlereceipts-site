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Hourly Pay Calculator" sheetId="2" state="visible" r:id="rId2"/>
    <sheet xmlns:r="http://schemas.openxmlformats.org/officeDocument/2006/relationships" name="Side Hustle Comparison" sheetId="3" state="visible" r:id="rId3"/>
    <sheet xmlns:r="http://schemas.openxmlformats.org/officeDocument/2006/relationships" name="Digital Product Fee Calculator" sheetId="4" state="visible" r:id="rId4"/>
    <sheet xmlns:r="http://schemas.openxmlformats.org/officeDocument/2006/relationships" name="Monthly Track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$0.000"/>
    <numFmt numFmtId="166" formatCode="yyyy-mm-dd"/>
  </numFmts>
  <fonts count="22">
    <font>
      <name val="Calibri"/>
      <family val="2"/>
      <color theme="1"/>
      <sz val="11"/>
      <scheme val="minor"/>
    </font>
    <font>
      <name val="Roboto Mono"/>
      <color rgb="001F1F1F"/>
      <sz val="10"/>
    </font>
    <font>
      <name val="Roboto Mono"/>
      <b val="1"/>
      <color rgb="001F1F1F"/>
      <sz val="20"/>
    </font>
    <font>
      <name val="Roboto Mono"/>
      <i val="1"/>
      <color rgb="006B6B6B"/>
      <sz val="10"/>
    </font>
    <font>
      <name val="Roboto Mono"/>
      <b val="1"/>
      <color rgb="001F1F1F"/>
      <sz val="10"/>
    </font>
    <font>
      <name val="Roboto Mono"/>
      <b val="1"/>
      <color rgb="001F1F1F"/>
      <sz val="18"/>
    </font>
    <font>
      <name val="Roboto Mono"/>
      <b val="1"/>
      <color rgb="00B45309"/>
      <sz val="10"/>
    </font>
    <font>
      <name val="Roboto Mono"/>
      <b val="1"/>
      <color rgb="00FFFFFF"/>
      <sz val="10"/>
    </font>
    <font>
      <name val="Roboto Mono"/>
      <color rgb="00B45309"/>
      <sz val="9"/>
    </font>
    <font>
      <name val="Roboto Mono"/>
      <color rgb="006B6B6B"/>
      <sz val="9"/>
    </font>
    <font>
      <name val="Roboto Mono"/>
      <b val="1"/>
      <color rgb="001F1F1F"/>
      <sz val="14"/>
    </font>
    <font>
      <name val="Roboto Mono"/>
      <i val="1"/>
      <color rgb="006B6B6B"/>
      <sz val="9"/>
    </font>
    <font>
      <name val="Roboto Mono"/>
      <color rgb="00BBBBBB"/>
      <sz val="8"/>
    </font>
    <font>
      <name val="Roboto Mono"/>
      <i val="1"/>
      <color rgb="006B6B6B"/>
      <sz val="8"/>
    </font>
    <font>
      <name val="Roboto Mono"/>
      <b val="1"/>
      <color rgb="001F1F1F"/>
      <sz val="13"/>
    </font>
    <font>
      <name val="Roboto Mono"/>
      <b val="1"/>
    </font>
    <font>
      <name val="Roboto Mono"/>
      <color rgb="006B6B6B"/>
      <sz val="8"/>
    </font>
    <font>
      <name val="Roboto Mono"/>
    </font>
    <font>
      <name val="Roboto Mono"/>
      <b val="1"/>
      <color rgb="001F1F1F"/>
      <sz val="12"/>
    </font>
    <font>
      <name val="Roboto Mono"/>
      <b val="1"/>
      <color rgb="00B45309"/>
    </font>
    <font>
      <name val="Roboto Mono"/>
      <sz val="10"/>
    </font>
    <font>
      <name val="Roboto Mono"/>
      <b val="1"/>
      <sz val="10"/>
    </font>
  </fonts>
  <fills count="6">
    <fill>
      <patternFill/>
    </fill>
    <fill>
      <patternFill patternType="gray125"/>
    </fill>
    <fill>
      <patternFill patternType="solid">
        <fgColor rgb="00FBF8F1"/>
      </patternFill>
    </fill>
    <fill>
      <patternFill patternType="solid">
        <fgColor rgb="00222222"/>
      </patternFill>
    </fill>
    <fill>
      <patternFill patternType="solid">
        <fgColor rgb="00FFF2B3"/>
      </patternFill>
    </fill>
    <fill>
      <patternFill patternType="solid">
        <fgColor rgb="00E3F2E8"/>
      </patternFill>
    </fill>
  </fills>
  <borders count="4">
    <border>
      <left/>
      <right/>
      <top/>
      <bottom/>
      <diagonal/>
    </border>
    <border>
      <bottom style="dashed">
        <color rgb="009C9483"/>
      </bottom>
    </border>
    <border>
      <left style="thin">
        <color rgb="00D9D2C3"/>
      </left>
      <right style="thin">
        <color rgb="00D9D2C3"/>
      </right>
      <top style="thin">
        <color rgb="00D9D2C3"/>
      </top>
      <bottom style="thin">
        <color rgb="00D9D2C3"/>
      </bottom>
    </border>
    <border>
      <left style="hair">
        <color rgb="00D9D2C3"/>
      </left>
      <right style="hair">
        <color rgb="00D9D2C3"/>
      </right>
      <bottom style="hair">
        <color rgb="00D9D2C3"/>
      </bottom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2" borderId="0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5" fillId="2" borderId="0" pivotButton="0" quotePrefix="0" xfId="0"/>
    <xf numFmtId="0" fontId="6" fillId="2" borderId="0" applyAlignment="1" pivotButton="0" quotePrefix="0" xfId="0">
      <alignment vertical="top" wrapText="1"/>
    </xf>
    <xf numFmtId="0" fontId="7" fillId="3" borderId="2" applyAlignment="1" pivotButton="0" quotePrefix="0" xfId="0">
      <alignment horizontal="center" vertical="center" wrapText="1"/>
    </xf>
    <xf numFmtId="0" fontId="1" fillId="2" borderId="2" pivotButton="0" quotePrefix="0" xfId="0"/>
    <xf numFmtId="164" fontId="4" fillId="4" borderId="2" pivotButton="0" quotePrefix="0" xfId="0"/>
    <xf numFmtId="0" fontId="8" fillId="2" borderId="0" applyAlignment="1" pivotButton="0" quotePrefix="0" xfId="0">
      <alignment vertical="top" wrapText="1"/>
    </xf>
    <xf numFmtId="4" fontId="4" fillId="4" borderId="2" pivotButton="0" quotePrefix="0" xfId="0"/>
    <xf numFmtId="165" fontId="4" fillId="4" borderId="2" pivotButton="0" quotePrefix="0" xfId="0"/>
    <xf numFmtId="0" fontId="9" fillId="2" borderId="0" applyAlignment="1" pivotButton="0" quotePrefix="0" xfId="0">
      <alignment vertical="top" wrapText="1"/>
    </xf>
    <xf numFmtId="10" fontId="4" fillId="4" borderId="2" pivotButton="0" quotePrefix="0" xfId="0"/>
    <xf numFmtId="164" fontId="1" fillId="5" borderId="2" pivotButton="0" quotePrefix="0" xfId="0"/>
    <xf numFmtId="0" fontId="4" fillId="2" borderId="2" pivotButton="0" quotePrefix="0" xfId="0"/>
    <xf numFmtId="164" fontId="10" fillId="5" borderId="2" pivotButton="0" quotePrefix="0" xfId="0"/>
    <xf numFmtId="10" fontId="1" fillId="5" borderId="2" pivotButton="0" quotePrefix="0" xfId="0"/>
    <xf numFmtId="0" fontId="11" fillId="2" borderId="0" applyAlignment="1" pivotButton="0" quotePrefix="0" xfId="0">
      <alignment vertical="top" wrapText="1"/>
    </xf>
    <xf numFmtId="0" fontId="13" fillId="2" borderId="0" applyAlignment="1" pivotButton="0" quotePrefix="0" xfId="0">
      <alignment vertical="top" wrapText="1"/>
    </xf>
    <xf numFmtId="0" fontId="6" fillId="4" borderId="2" pivotButton="0" quotePrefix="0" xfId="0"/>
    <xf numFmtId="3" fontId="4" fillId="4" borderId="2" pivotButton="0" quotePrefix="0" xfId="0"/>
    <xf numFmtId="164" fontId="4" fillId="5" borderId="2" pivotButton="0" quotePrefix="0" xfId="0"/>
    <xf numFmtId="1" fontId="1" fillId="5" borderId="2" pivotButton="0" quotePrefix="0" xfId="0"/>
    <xf numFmtId="0" fontId="12" fillId="2" borderId="0" pivotButton="0" quotePrefix="0" xfId="0"/>
    <xf numFmtId="0" fontId="4" fillId="4" borderId="2" pivotButton="0" quotePrefix="0" xfId="0"/>
    <xf numFmtId="0" fontId="14" fillId="2" borderId="0" pivotButton="0" quotePrefix="0" xfId="0"/>
    <xf numFmtId="0" fontId="15" fillId="2" borderId="0" applyAlignment="1" pivotButton="0" quotePrefix="0" xfId="0">
      <alignment horizontal="center"/>
    </xf>
    <xf numFmtId="0" fontId="1" fillId="5" borderId="2" pivotButton="0" quotePrefix="0" xfId="0"/>
    <xf numFmtId="1" fontId="4" fillId="4" borderId="2" pivotButton="0" quotePrefix="0" xfId="0"/>
    <xf numFmtId="0" fontId="16" fillId="2" borderId="0" applyAlignment="1" pivotButton="0" quotePrefix="0" xfId="0">
      <alignment vertical="top" wrapText="1"/>
    </xf>
    <xf numFmtId="0" fontId="17" fillId="2" borderId="2" pivotButton="0" quotePrefix="0" xfId="0"/>
    <xf numFmtId="0" fontId="15" fillId="2" borderId="2" pivotButton="0" quotePrefix="0" xfId="0"/>
    <xf numFmtId="0" fontId="18" fillId="2" borderId="0" pivotButton="0" quotePrefix="0" xfId="0"/>
    <xf numFmtId="0" fontId="19" fillId="4" borderId="2" pivotButton="0" quotePrefix="0" xfId="0"/>
    <xf numFmtId="4" fontId="1" fillId="5" borderId="2" pivotButton="0" quotePrefix="0" xfId="0"/>
    <xf numFmtId="166" fontId="1" fillId="4" borderId="3" pivotButton="0" quotePrefix="0" xfId="0"/>
    <xf numFmtId="0" fontId="6" fillId="4" borderId="3" pivotButton="0" quotePrefix="0" xfId="0"/>
    <xf numFmtId="0" fontId="1" fillId="4" borderId="3" pivotButton="0" quotePrefix="0" xfId="0"/>
    <xf numFmtId="164" fontId="1" fillId="4" borderId="3" pivotButton="0" quotePrefix="0" xfId="0"/>
    <xf numFmtId="4" fontId="1" fillId="4" borderId="3" pivotButton="0" quotePrefix="0" xfId="0"/>
    <xf numFmtId="3" fontId="1" fillId="4" borderId="3" pivotButton="0" quotePrefix="0" xfId="0"/>
    <xf numFmtId="164" fontId="20" fillId="5" borderId="0" pivotButton="0" quotePrefix="0" xfId="0"/>
    <xf numFmtId="164" fontId="21" fillId="5" borderId="0" pivotButton="0" quotePrefix="0" xfId="0"/>
    <xf numFmtId="166" fontId="0" fillId="4" borderId="3" pivotButton="0" quotePrefix="0" xfId="0"/>
    <xf numFmtId="0" fontId="0" fillId="4" borderId="3" pivotButton="0" quotePrefix="0" xfId="0"/>
    <xf numFmtId="164" fontId="0" fillId="4" borderId="3" pivotButton="0" quotePrefix="0" xfId="0"/>
    <xf numFmtId="4" fontId="0" fillId="4" borderId="3" pivotButton="0" quotePrefix="0" xfId="0"/>
    <xf numFmtId="3" fontId="0" fillId="4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95" customWidth="1" min="3" max="3"/>
  </cols>
  <sheetData>
    <row r="1">
      <c r="A1" s="1" t="n"/>
      <c r="B1" s="1" t="n"/>
      <c r="C1" s="1" t="n"/>
      <c r="D1" s="1" t="n"/>
      <c r="E1" s="1" t="n"/>
      <c r="F1" s="1" t="n"/>
    </row>
    <row r="2">
      <c r="A2" s="1" t="n"/>
      <c r="B2" s="2" t="inlineStr">
        <is>
          <t>🧾 HUSTLE MATH  ·  free side-hustle calculator</t>
        </is>
      </c>
      <c r="C2" s="1" t="n"/>
      <c r="D2" s="1" t="n"/>
      <c r="E2" s="1" t="n"/>
      <c r="F2" s="1" t="n"/>
    </row>
    <row r="3">
      <c r="A3" s="1" t="n"/>
      <c r="B3" s="3" t="inlineStr">
        <is>
          <t>By Side Hustle Receipts · Real costs. Real hours. Real payouts. · Version Oct 2026 (re-check rates every January and July)</t>
        </is>
      </c>
      <c r="C3" s="1" t="n"/>
      <c r="D3" s="1" t="n"/>
      <c r="E3" s="1" t="n"/>
      <c r="F3" s="1" t="n"/>
    </row>
    <row r="4">
      <c r="A4" s="1" t="n"/>
      <c r="B4" s="1" t="n"/>
      <c r="C4" s="1" t="n"/>
      <c r="D4" s="1" t="n"/>
      <c r="E4" s="1" t="n"/>
      <c r="F4" s="1" t="n"/>
    </row>
    <row r="5" ht="30" customHeight="1">
      <c r="A5" s="1" t="n"/>
      <c r="B5" s="4" t="inlineStr">
        <is>
          <t>WHAT THIS IS</t>
        </is>
      </c>
      <c r="C5" s="5" t="inlineStr">
        <is>
          <t>A free calculator that turns 'I made $25/hr' into what you actually keep per hour after car costs, platform fees, other expenses and self-employment tax.</t>
        </is>
      </c>
      <c r="D5" s="1" t="n"/>
      <c r="E5" s="1" t="n"/>
      <c r="F5" s="1" t="n"/>
    </row>
    <row r="6" ht="45" customHeight="1">
      <c r="A6" s="1" t="n"/>
      <c r="B6" s="4" t="inlineStr">
        <is>
          <t>HOW TO USE</t>
        </is>
      </c>
      <c r="C6" s="5" t="inlineStr">
        <is>
          <t>1) Go to File → Make a copy (this file is view-only for everyone else).  2) Type ONLY in YELLOW cells.  3) GREEN cells are formulas — don't type over them.  4) Replace every row marked EXAMPLE with your own numbers, or clear it.</t>
        </is>
      </c>
      <c r="D6" s="1" t="n"/>
      <c r="E6" s="1" t="n"/>
      <c r="F6" s="1" t="n"/>
    </row>
    <row r="7" ht="32" customHeight="1">
      <c r="A7" s="1" t="n"/>
      <c r="B7" s="4" t="inlineStr">
        <is>
          <t>COLOR KEY</t>
        </is>
      </c>
      <c r="C7" s="5" t="inlineStr">
        <is>
          <t>YELLOW = your input  ·  GREEN = calculated result  ·  ORANGE text 'EXAMPLE' = sample data so you can see how it works (not a statistic, not a promise).</t>
        </is>
      </c>
      <c r="D7" s="1" t="n"/>
      <c r="E7" s="1" t="n"/>
      <c r="F7" s="1" t="n"/>
    </row>
    <row r="8" ht="32" customHeight="1">
      <c r="A8" s="1" t="n"/>
      <c r="B8" s="4" t="inlineStr">
        <is>
          <t>TAB: Hourly Pay Calculator</t>
        </is>
      </c>
      <c r="C8" s="5" t="inlineStr">
        <is>
          <t>One shift / one gig / one week at a time. Enter gross pay, ALL hours (waiting, driving, admin, pitching count), miles, and expenses. Shows your true hourly pay.</t>
        </is>
      </c>
      <c r="D8" s="1" t="n"/>
      <c r="E8" s="1" t="n"/>
      <c r="F8" s="1" t="n"/>
    </row>
    <row r="9" ht="30" customHeight="1">
      <c r="A9" s="1" t="n"/>
      <c r="B9" s="4" t="inlineStr">
        <is>
          <t>TAB: Side Hustle Comparison</t>
        </is>
      </c>
      <c r="C9" s="5" t="inlineStr">
        <is>
          <t>Up to 10 hustles side by side, ranked automatically by true hourly pay. Uses the same mileage rate and tax settings as the calculator.</t>
        </is>
      </c>
      <c r="D9" s="1" t="n"/>
      <c r="E9" s="1" t="n"/>
      <c r="F9" s="1" t="n"/>
    </row>
    <row r="10" ht="40" customHeight="1">
      <c r="A10" s="1" t="n"/>
      <c r="B10" s="4" t="inlineStr">
        <is>
          <t>TAB: Digital Product Fee Calculator</t>
        </is>
      </c>
      <c r="C10" s="5" t="inlineStr">
        <is>
          <t>What Etsy, Gumroad and Payhip leave you from one digital sale (and from N sales). Fee rates live in yellow cells with sources, so you can update them when platforms change.</t>
        </is>
      </c>
      <c r="D10" s="1" t="n"/>
      <c r="E10" s="1" t="n"/>
      <c r="F10" s="1" t="n"/>
    </row>
    <row r="11" ht="28" customHeight="1">
      <c r="A11" s="1" t="n"/>
      <c r="B11" s="4" t="inlineStr">
        <is>
          <t>TAB: Monthly Tracker</t>
        </is>
      </c>
      <c r="C11" s="5" t="inlineStr">
        <is>
          <t>Log every session. Totals, true hourly per hustle and a tax set-aside estimate update automatically.</t>
        </is>
      </c>
      <c r="D11" s="1" t="n"/>
      <c r="E11" s="1" t="n"/>
      <c r="F11" s="1" t="n"/>
    </row>
    <row r="12" ht="40" customHeight="1">
      <c r="A12" s="1" t="n"/>
      <c r="B12" s="4" t="inlineStr">
        <is>
          <t>THE FORMULA</t>
        </is>
      </c>
      <c r="C12" s="5" t="inlineStr">
        <is>
          <t>Net profit = Gross − (Miles × $/mile) − Fees − Other expenses.   SE tax = Net × 92.35% × 15.3% (if net &gt; 0).   True hourly = (Net − SE tax − optional income tax) ÷ Hours.</t>
        </is>
      </c>
      <c r="D12" s="1" t="n"/>
      <c r="E12" s="1" t="n"/>
      <c r="F12" s="1" t="n"/>
    </row>
    <row r="13" ht="70" customHeight="1">
      <c r="A13" s="1" t="n"/>
      <c r="B13" s="4" t="inlineStr">
        <is>
          <t>MILEAGE RATE</t>
        </is>
      </c>
      <c r="C13" s="5" t="inlineStr">
        <is>
          <t>Default 76¢/mile = IRS business standard mileage rate for July 1–Dec 31, 2026 (it was 72.5¢ Jan 1–Jun 30, 2026). It is the IRS's all-in estimate (fuel, maintenance, depreciation, insurance). Source: https://www.irs.gov/tax-professionals/standard-mileage-rates . For 'cash out of pocket only', AAA's 2026 study puts fuel (17.32¢) + maintenance/repair/tires (11.73¢) ≈ 29¢/mile: https://newsroom.aaa.com/wp-content/uploads/2026/09/AAA_YDC-Fact-Sheet_2026.pdf</t>
        </is>
      </c>
      <c r="D13" s="1" t="n"/>
      <c r="E13" s="1" t="n"/>
      <c r="F13" s="1" t="n"/>
    </row>
    <row r="14" ht="55" customHeight="1">
      <c r="A14" s="1" t="n"/>
      <c r="B14" s="4" t="inlineStr">
        <is>
          <t>SELF-EMPLOYMENT TAX</t>
        </is>
      </c>
      <c r="C14" s="5" t="inlineStr">
        <is>
          <t>15.3% (12.4% Social Security + 2.9% Medicare) on 92.35% of net SE earnings; generally owed if net SE earnings are $400+ for the year. Half is deductible for income tax. Source: IRS Topic 554 https://www.irs.gov/taxtopics/tc554 . The calculator applies SE tax per session as an approximation of your annual bill.</t>
        </is>
      </c>
      <c r="D14" s="1" t="n"/>
      <c r="E14" s="1" t="n"/>
      <c r="F14" s="1" t="n"/>
    </row>
    <row r="15" ht="40" customHeight="1">
      <c r="A15" s="1" t="n"/>
      <c r="B15" s="4" t="inlineStr">
        <is>
          <t>INCOME TAX</t>
        </is>
      </c>
      <c r="C15" s="5" t="inlineStr">
        <is>
          <t>Optional cell, default 0%. Your federal/state income tax rate depends on your whole return, so this sheet does not guess it. If you add a rate, it is applied to net profit minus half the SE tax (a simplification).</t>
        </is>
      </c>
      <c r="D15" s="1" t="n"/>
      <c r="E15" s="1" t="n"/>
      <c r="F15" s="1" t="n"/>
    </row>
    <row r="16" ht="85" customHeight="1">
      <c r="A16" s="1" t="n"/>
      <c r="B16" s="4" t="inlineStr">
        <is>
          <t>FEE SOURCES</t>
        </is>
      </c>
      <c r="C16" s="5" t="inlineStr">
        <is>
          <t>Etsy: $0.20 listing + 6.5% transaction https://www.etsy.com/legal/fees/ ; US payment processing 3% + $0.25 https://help.etsy.com/hc/en-us/articles/115015628847 ; Offsite Ads 12–15% if a sale comes from Etsy's ads.  Gumroad: 10% + $0.50 direct, plus card processing 2.9% + $0.30; Discover marketplace sales flat 30% https://gumroad.com/help/article/66-gumroads-fees .  Payhip: Free plan 5% transaction fee + PayPal/Stripe processing https://payhip.com/pricing ; Stripe US cards 2.9% + 30¢ https://stripe.com/pricing .</t>
        </is>
      </c>
      <c r="D16" s="1" t="n"/>
      <c r="E16" s="1" t="n"/>
      <c r="F16" s="1" t="n"/>
    </row>
    <row r="17" ht="32" customHeight="1">
      <c r="A17" s="1" t="n"/>
      <c r="B17" s="4" t="inlineStr">
        <is>
          <t>IRREGULAR INCOME?</t>
        </is>
      </c>
      <c r="C17" s="5" t="inlineStr">
        <is>
          <t>Side-hustle money rarely arrives on a schedule. Pair this sheet with a FlexIncomePlanners irregular-income budget planner (Payhip / Etsy) to turn lumpy payouts into a steady monthly plan.</t>
        </is>
      </c>
      <c r="D17" s="1" t="n"/>
      <c r="E17" s="1" t="n"/>
      <c r="F17" s="1" t="n"/>
    </row>
    <row r="18" ht="32" customHeight="1">
      <c r="A18" s="1" t="n"/>
      <c r="B18" s="4" t="inlineStr">
        <is>
          <t>DISCLAIMER</t>
        </is>
      </c>
      <c r="C18" s="5" t="inlineStr">
        <is>
          <t>Educational tool only. Not tax, legal or financial advice. Rates and platform fees change — verify on the linked pages before relying on a number. Talk to a qualified tax professional about your situation.</t>
        </is>
      </c>
      <c r="D18" s="1" t="n"/>
      <c r="E18" s="1" t="n"/>
      <c r="F18" s="1" t="n"/>
    </row>
    <row r="19">
      <c r="A19" s="1" t="n"/>
      <c r="B19" s="1" t="n"/>
      <c r="C19" s="1" t="n"/>
      <c r="D19" s="1" t="n"/>
      <c r="E19" s="1" t="n"/>
      <c r="F19" s="1" t="n"/>
    </row>
    <row r="20">
      <c r="A20" s="1" t="n"/>
      <c r="B20" s="1" t="n"/>
      <c r="C20" s="1" t="n"/>
      <c r="D20" s="1" t="n"/>
      <c r="E20" s="1" t="n"/>
      <c r="F20" s="1" t="n"/>
    </row>
    <row r="21">
      <c r="A21" s="1" t="n"/>
      <c r="B21" s="1" t="n"/>
      <c r="C21" s="1" t="n"/>
      <c r="D21" s="1" t="n"/>
      <c r="E21" s="1" t="n"/>
      <c r="F21" s="1" t="n"/>
    </row>
    <row r="22">
      <c r="A22" s="1" t="n"/>
      <c r="B22" s="1" t="n"/>
      <c r="C22" s="1" t="n"/>
      <c r="D22" s="1" t="n"/>
      <c r="E22" s="1" t="n"/>
      <c r="F22" s="1" t="n"/>
    </row>
    <row r="23">
      <c r="A23" s="1" t="n"/>
      <c r="B23" s="1" t="n"/>
      <c r="C23" s="1" t="n"/>
      <c r="D23" s="1" t="n"/>
      <c r="E23" s="1" t="n"/>
      <c r="F23" s="1" t="n"/>
    </row>
    <row r="24">
      <c r="A24" s="1" t="n"/>
      <c r="B24" s="1" t="n"/>
      <c r="C24" s="1" t="n"/>
      <c r="D24" s="1" t="n"/>
      <c r="E24" s="1" t="n"/>
      <c r="F24" s="1" t="n"/>
    </row>
    <row r="25">
      <c r="A25" s="1" t="n"/>
      <c r="B25" s="1" t="n"/>
      <c r="C25" s="1" t="n"/>
      <c r="D25" s="1" t="n"/>
      <c r="E25" s="1" t="n"/>
      <c r="F25" s="1" t="n"/>
    </row>
    <row r="26">
      <c r="A26" s="1" t="n"/>
      <c r="B26" s="1" t="n"/>
      <c r="C26" s="1" t="n"/>
      <c r="D26" s="1" t="n"/>
      <c r="E26" s="1" t="n"/>
      <c r="F26" s="1" t="n"/>
    </row>
    <row r="27">
      <c r="A27" s="1" t="n"/>
      <c r="B27" s="1" t="n"/>
      <c r="C27" s="1" t="n"/>
      <c r="D27" s="1" t="n"/>
      <c r="E27" s="1" t="n"/>
      <c r="F27" s="1" t="n"/>
    </row>
    <row r="28">
      <c r="A28" s="1" t="n"/>
      <c r="B28" s="1" t="n"/>
      <c r="C28" s="1" t="n"/>
      <c r="D28" s="1" t="n"/>
      <c r="E28" s="1" t="n"/>
      <c r="F28" s="1" t="n"/>
    </row>
    <row r="29">
      <c r="A29" s="1" t="n"/>
      <c r="B29" s="1" t="n"/>
      <c r="C29" s="1" t="n"/>
      <c r="D29" s="1" t="n"/>
      <c r="E29" s="1" t="n"/>
      <c r="F29" s="1" t="n"/>
    </row>
    <row r="30">
      <c r="A30" s="1" t="n"/>
      <c r="B30" s="1" t="n"/>
      <c r="C30" s="1" t="n"/>
      <c r="D30" s="1" t="n"/>
      <c r="E30" s="1" t="n"/>
      <c r="F30" s="1" t="n"/>
    </row>
    <row r="31">
      <c r="A31" s="1" t="n"/>
      <c r="B31" s="1" t="n"/>
      <c r="C31" s="1" t="n"/>
      <c r="D31" s="1" t="n"/>
      <c r="E31" s="1" t="n"/>
      <c r="F31" s="1" t="n"/>
    </row>
    <row r="32">
      <c r="A32" s="1" t="n"/>
      <c r="B32" s="1" t="n"/>
      <c r="C32" s="1" t="n"/>
      <c r="D32" s="1" t="n"/>
      <c r="E32" s="1" t="n"/>
      <c r="F32" s="1" t="n"/>
    </row>
    <row r="33">
      <c r="A33" s="1" t="n"/>
      <c r="B33" s="1" t="n"/>
      <c r="C33" s="1" t="n"/>
      <c r="D33" s="1" t="n"/>
      <c r="E33" s="1" t="n"/>
      <c r="F33" s="1" t="n"/>
    </row>
    <row r="34">
      <c r="A34" s="1" t="n"/>
      <c r="B34" s="1" t="n"/>
      <c r="C34" s="1" t="n"/>
      <c r="D34" s="1" t="n"/>
      <c r="E34" s="1" t="n"/>
      <c r="F34" s="1" t="n"/>
    </row>
    <row r="35">
      <c r="A35" s="1" t="n"/>
      <c r="B35" s="1" t="n"/>
      <c r="C35" s="1" t="n"/>
      <c r="D35" s="1" t="n"/>
      <c r="E35" s="1" t="n"/>
      <c r="F35" s="1" t="n"/>
    </row>
    <row r="36">
      <c r="A36" s="1" t="n"/>
      <c r="B36" s="1" t="n"/>
      <c r="C36" s="1" t="n"/>
      <c r="D36" s="1" t="n"/>
      <c r="E36" s="1" t="n"/>
      <c r="F36" s="1" t="n"/>
    </row>
    <row r="37">
      <c r="A37" s="1" t="n"/>
      <c r="B37" s="1" t="n"/>
      <c r="C37" s="1" t="n"/>
      <c r="D37" s="1" t="n"/>
      <c r="E37" s="1" t="n"/>
      <c r="F37" s="1" t="n"/>
    </row>
    <row r="38">
      <c r="A38" s="1" t="n"/>
      <c r="B38" s="1" t="n"/>
      <c r="C38" s="1" t="n"/>
      <c r="D38" s="1" t="n"/>
      <c r="E38" s="1" t="n"/>
      <c r="F38" s="1" t="n"/>
    </row>
    <row r="39">
      <c r="A39" s="1" t="n"/>
      <c r="B39" s="1" t="n"/>
      <c r="C39" s="1" t="n"/>
      <c r="D39" s="1" t="n"/>
      <c r="E39" s="1" t="n"/>
      <c r="F39" s="1" t="n"/>
    </row>
    <row r="40">
      <c r="A40" s="1" t="n"/>
      <c r="B40" s="1" t="n"/>
      <c r="C40" s="1" t="n"/>
      <c r="D40" s="1" t="n"/>
      <c r="E40" s="1" t="n"/>
      <c r="F40" s="1" t="n"/>
    </row>
    <row r="41">
      <c r="A41" s="1" t="n"/>
      <c r="B41" s="1" t="n"/>
      <c r="C41" s="1" t="n"/>
      <c r="D41" s="1" t="n"/>
      <c r="E41" s="1" t="n"/>
      <c r="F41" s="1" t="n"/>
    </row>
    <row r="42">
      <c r="A42" s="1" t="n"/>
      <c r="B42" s="1" t="n"/>
      <c r="C42" s="1" t="n"/>
      <c r="D42" s="1" t="n"/>
      <c r="E42" s="1" t="n"/>
      <c r="F42" s="1" t="n"/>
    </row>
    <row r="43">
      <c r="A43" s="1" t="n"/>
      <c r="B43" s="1" t="n"/>
      <c r="C43" s="1" t="n"/>
      <c r="D43" s="1" t="n"/>
      <c r="E43" s="1" t="n"/>
      <c r="F43" s="1" t="n"/>
    </row>
    <row r="44">
      <c r="A44" s="1" t="n"/>
      <c r="B44" s="1" t="n"/>
      <c r="C44" s="1" t="n"/>
      <c r="D44" s="1" t="n"/>
      <c r="E44" s="1" t="n"/>
      <c r="F44" s="1" t="n"/>
    </row>
    <row r="45">
      <c r="A45" s="1" t="n"/>
      <c r="B45" s="1" t="n"/>
      <c r="C45" s="1" t="n"/>
      <c r="D45" s="1" t="n"/>
      <c r="E45" s="1" t="n"/>
      <c r="F45" s="1" t="n"/>
    </row>
    <row r="46">
      <c r="A46" s="1" t="n"/>
      <c r="B46" s="1" t="n"/>
      <c r="C46" s="1" t="n"/>
      <c r="D46" s="1" t="n"/>
      <c r="E46" s="1" t="n"/>
      <c r="F46" s="1" t="n"/>
    </row>
    <row r="47">
      <c r="A47" s="1" t="n"/>
      <c r="B47" s="1" t="n"/>
      <c r="C47" s="1" t="n"/>
      <c r="D47" s="1" t="n"/>
      <c r="E47" s="1" t="n"/>
      <c r="F47" s="1" t="n"/>
    </row>
    <row r="48">
      <c r="A48" s="1" t="n"/>
      <c r="B48" s="1" t="n"/>
      <c r="C48" s="1" t="n"/>
      <c r="D48" s="1" t="n"/>
      <c r="E48" s="1" t="n"/>
      <c r="F48" s="1" t="n"/>
    </row>
    <row r="49">
      <c r="A49" s="1" t="n"/>
      <c r="B49" s="1" t="n"/>
      <c r="C49" s="1" t="n"/>
      <c r="D49" s="1" t="n"/>
      <c r="E49" s="1" t="n"/>
      <c r="F49" s="1" t="n"/>
    </row>
    <row r="50">
      <c r="A50" s="1" t="n"/>
      <c r="B50" s="1" t="n"/>
      <c r="C50" s="1" t="n"/>
      <c r="D50" s="1" t="n"/>
      <c r="E50" s="1" t="n"/>
      <c r="F50" s="1" t="n"/>
    </row>
    <row r="51">
      <c r="A51" s="1" t="n"/>
      <c r="B51" s="1" t="n"/>
      <c r="C51" s="1" t="n"/>
      <c r="D51" s="1" t="n"/>
      <c r="E51" s="1" t="n"/>
      <c r="F51" s="1" t="n"/>
    </row>
    <row r="52">
      <c r="A52" s="1" t="n"/>
      <c r="B52" s="1" t="n"/>
      <c r="C52" s="1" t="n"/>
      <c r="D52" s="1" t="n"/>
      <c r="E52" s="1" t="n"/>
      <c r="F52" s="1" t="n"/>
    </row>
    <row r="53">
      <c r="A53" s="1" t="n"/>
      <c r="B53" s="1" t="n"/>
      <c r="C53" s="1" t="n"/>
      <c r="D53" s="1" t="n"/>
      <c r="E53" s="1" t="n"/>
      <c r="F53" s="1" t="n"/>
    </row>
    <row r="54">
      <c r="A54" s="1" t="n"/>
      <c r="B54" s="1" t="n"/>
      <c r="C54" s="1" t="n"/>
      <c r="D54" s="1" t="n"/>
      <c r="E54" s="1" t="n"/>
      <c r="F54" s="1" t="n"/>
    </row>
    <row r="55">
      <c r="A55" s="1" t="n"/>
      <c r="B55" s="1" t="n"/>
      <c r="C55" s="1" t="n"/>
      <c r="D55" s="1" t="n"/>
      <c r="E55" s="1" t="n"/>
      <c r="F55" s="1" t="n"/>
    </row>
    <row r="56">
      <c r="A56" s="1" t="n"/>
      <c r="B56" s="1" t="n"/>
      <c r="C56" s="1" t="n"/>
      <c r="D56" s="1" t="n"/>
      <c r="E56" s="1" t="n"/>
      <c r="F56" s="1" t="n"/>
    </row>
    <row r="57">
      <c r="A57" s="1" t="n"/>
      <c r="B57" s="1" t="n"/>
      <c r="C57" s="1" t="n"/>
      <c r="D57" s="1" t="n"/>
      <c r="E57" s="1" t="n"/>
      <c r="F57" s="1" t="n"/>
    </row>
    <row r="58">
      <c r="A58" s="1" t="n"/>
      <c r="B58" s="1" t="n"/>
      <c r="C58" s="1" t="n"/>
      <c r="D58" s="1" t="n"/>
      <c r="E58" s="1" t="n"/>
      <c r="F58" s="1" t="n"/>
    </row>
    <row r="59">
      <c r="A59" s="1" t="n"/>
      <c r="B59" s="1" t="n"/>
      <c r="C59" s="1" t="n"/>
      <c r="D59" s="1" t="n"/>
      <c r="E59" s="1" t="n"/>
      <c r="F59" s="1" t="n"/>
    </row>
    <row r="60">
      <c r="A60" s="1" t="n"/>
      <c r="B60" s="1" t="n"/>
      <c r="C60" s="1" t="n"/>
      <c r="D60" s="1" t="n"/>
      <c r="E60" s="1" t="n"/>
      <c r="F60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46" customWidth="1" min="2" max="2"/>
    <col width="16" customWidth="1" min="3" max="3"/>
    <col width="70" customWidth="1" min="4" max="4"/>
  </cols>
  <sheetData>
    <row r="1">
      <c r="A1" s="1" t="n"/>
      <c r="B1" s="1" t="n"/>
      <c r="C1" s="1" t="n"/>
      <c r="D1" s="1" t="n"/>
      <c r="E1" s="1" t="n"/>
      <c r="F1" s="1" t="n"/>
    </row>
    <row r="2">
      <c r="A2" s="1" t="n"/>
      <c r="B2" s="6" t="inlineStr">
        <is>
          <t>HOURLY PAY CALCULATOR  ·  what you actually keep</t>
        </is>
      </c>
      <c r="C2" s="1" t="n"/>
      <c r="D2" s="1" t="n"/>
      <c r="E2" s="1" t="n"/>
      <c r="F2" s="1" t="n"/>
    </row>
    <row r="3">
      <c r="A3" s="1" t="n"/>
      <c r="B3" s="7" t="inlineStr">
        <is>
          <t>Type in YELLOW cells only. Pre-filled values are an EXAMPLE (1 delivery hour, $25 gross, 14 miles) — replace them with your own.</t>
        </is>
      </c>
      <c r="C3" s="1" t="n"/>
      <c r="D3" s="1" t="n"/>
      <c r="E3" s="1" t="n"/>
      <c r="F3" s="1" t="n"/>
    </row>
    <row r="4">
      <c r="A4" s="1" t="n"/>
      <c r="B4" s="1" t="n"/>
      <c r="C4" s="1" t="n"/>
      <c r="D4" s="1" t="n"/>
      <c r="E4" s="1" t="n"/>
      <c r="F4" s="1" t="n"/>
    </row>
    <row r="5">
      <c r="A5" s="1" t="n"/>
      <c r="B5" s="8" t="inlineStr">
        <is>
          <t>INPUT</t>
        </is>
      </c>
      <c r="C5" s="8" t="inlineStr">
        <is>
          <t>VALUE</t>
        </is>
      </c>
      <c r="D5" s="8" t="inlineStr">
        <is>
          <t>NOTES / SOURCE</t>
        </is>
      </c>
      <c r="E5" s="1" t="n"/>
      <c r="F5" s="1" t="n"/>
    </row>
    <row r="6">
      <c r="A6" s="1" t="n"/>
      <c r="B6" s="9" t="inlineStr">
        <is>
          <t>Gross pay (incl. tips &amp; bonuses)</t>
        </is>
      </c>
      <c r="C6" s="10" t="n">
        <v>25</v>
      </c>
      <c r="D6" s="11" t="inlineStr">
        <is>
          <t>EXAMPLE value. Everything the platform/client paid you for this period.</t>
        </is>
      </c>
      <c r="E6" s="1" t="n"/>
      <c r="F6" s="1" t="n"/>
    </row>
    <row r="7">
      <c r="A7" s="1" t="n"/>
      <c r="B7" s="9" t="inlineStr">
        <is>
          <t>Hours worked (ALL of them)</t>
        </is>
      </c>
      <c r="C7" s="12" t="n">
        <v>1</v>
      </c>
      <c r="D7" s="11" t="inlineStr">
        <is>
          <t>EXAMPLE value. Include waiting, driving to the zone, pitching, admin, packing.</t>
        </is>
      </c>
      <c r="E7" s="1" t="n"/>
      <c r="F7" s="1" t="n"/>
    </row>
    <row r="8">
      <c r="A8" s="1" t="n"/>
      <c r="B8" s="9" t="inlineStr">
        <is>
          <t>Miles driven for this work</t>
        </is>
      </c>
      <c r="C8" s="12" t="n">
        <v>14</v>
      </c>
      <c r="D8" s="11" t="inlineStr">
        <is>
          <t>EXAMPLE value. Use your mileage log (odometer or app).</t>
        </is>
      </c>
      <c r="E8" s="1" t="n"/>
      <c r="F8" s="1" t="n"/>
    </row>
    <row r="9">
      <c r="A9" s="1" t="n"/>
      <c r="B9" s="9" t="inlineStr">
        <is>
          <t>Mileage cost per mile ($)</t>
        </is>
      </c>
      <c r="C9" s="13" t="n">
        <v>0.76</v>
      </c>
      <c r="D9" s="14" t="inlineStr">
        <is>
          <t>Default = IRS business standard mileage rate, Jul 1–Dec 31, 2026 (76¢). https://www.irs.gov/tax-professionals/standard-mileage-rates · Cash-only alternative ≈ $0.29 (AAA 2026 fuel 17.32¢ + maintenance 11.73¢).</t>
        </is>
      </c>
      <c r="E9" s="1" t="n"/>
      <c r="F9" s="1" t="n"/>
    </row>
    <row r="10">
      <c r="A10" s="1" t="n"/>
      <c r="B10" s="9" t="inlineStr">
        <is>
          <t>Platform fees NOT already taken out</t>
        </is>
      </c>
      <c r="C10" s="10" t="n">
        <v>0</v>
      </c>
      <c r="D10" s="14" t="inlineStr">
        <is>
          <t>Leave 0 if the app pays you net of its cut.</t>
        </is>
      </c>
      <c r="E10" s="1" t="n"/>
      <c r="F10" s="1" t="n"/>
    </row>
    <row r="11">
      <c r="A11" s="1" t="n"/>
      <c r="B11" s="9" t="inlineStr">
        <is>
          <t>Other expenses (supplies, parking, phone share…)</t>
        </is>
      </c>
      <c r="C11" s="10" t="n">
        <v>0</v>
      </c>
      <c r="D11" s="11" t="inlineStr">
        <is>
          <t>EXAMPLE value. Only costs caused by this work.</t>
        </is>
      </c>
      <c r="E11" s="1" t="n"/>
      <c r="F11" s="1" t="n"/>
    </row>
    <row r="12">
      <c r="A12" s="1" t="n"/>
      <c r="B12" s="9" t="inlineStr">
        <is>
          <t>Self-employment tax rate</t>
        </is>
      </c>
      <c r="C12" s="15" t="n">
        <v>0.153</v>
      </c>
      <c r="D12" s="14" t="inlineStr">
        <is>
          <t>15.3% = 12.4% Social Security + 2.9% Medicare. IRS Topic 554: https://www.irs.gov/taxtopics/tc554</t>
        </is>
      </c>
      <c r="E12" s="1" t="n"/>
      <c r="F12" s="1" t="n"/>
    </row>
    <row r="13">
      <c r="A13" s="1" t="n"/>
      <c r="B13" s="9" t="inlineStr">
        <is>
          <t>Share of net subject to SE tax</t>
        </is>
      </c>
      <c r="C13" s="15" t="n">
        <v>0.9235</v>
      </c>
      <c r="D13" s="14" t="inlineStr">
        <is>
          <t>92.35% of net SE earnings (IRS Topic 554).</t>
        </is>
      </c>
      <c r="E13" s="1" t="n"/>
      <c r="F13" s="1" t="n"/>
    </row>
    <row r="14">
      <c r="A14" s="1" t="n"/>
      <c r="B14" s="9" t="inlineStr">
        <is>
          <t>Optional: income tax rate (your estimate)</t>
        </is>
      </c>
      <c r="C14" s="15" t="n">
        <v>0</v>
      </c>
      <c r="D14" s="14" t="inlineStr">
        <is>
          <t>Default 0% (not included). Depends on your whole tax return.</t>
        </is>
      </c>
      <c r="E14" s="1" t="n"/>
      <c r="F14" s="1" t="n"/>
    </row>
    <row r="15">
      <c r="A15" s="1" t="n"/>
      <c r="B15" s="1" t="n"/>
      <c r="C15" s="1" t="n"/>
      <c r="D15" s="1" t="n"/>
      <c r="E15" s="1" t="n"/>
      <c r="F15" s="1" t="n"/>
    </row>
    <row r="16">
      <c r="A16" s="1" t="n"/>
      <c r="B16" s="8" t="inlineStr">
        <is>
          <t>RESULT</t>
        </is>
      </c>
      <c r="C16" s="8" t="inlineStr">
        <is>
          <t>VALUE</t>
        </is>
      </c>
      <c r="D16" s="8" t="inlineStr">
        <is>
          <t>HOW IT'S CALCULATED</t>
        </is>
      </c>
      <c r="E16" s="1" t="n"/>
      <c r="F16" s="1" t="n"/>
    </row>
    <row r="17">
      <c r="A17" s="1" t="n"/>
      <c r="B17" s="9" t="inlineStr">
        <is>
          <t>Car cost</t>
        </is>
      </c>
      <c r="C17" s="16">
        <f>C8*C9</f>
        <v/>
      </c>
      <c r="D17" s="14" t="inlineStr">
        <is>
          <t>Miles × $/mile</t>
        </is>
      </c>
      <c r="E17" s="1" t="n"/>
      <c r="F17" s="1" t="n"/>
    </row>
    <row r="18">
      <c r="A18" s="1" t="n"/>
      <c r="B18" s="9" t="inlineStr">
        <is>
          <t>Total expenses</t>
        </is>
      </c>
      <c r="C18" s="16">
        <f>C17+C10+C11</f>
        <v/>
      </c>
      <c r="D18" s="14" t="inlineStr">
        <is>
          <t>Car + fees + other</t>
        </is>
      </c>
      <c r="E18" s="1" t="n"/>
      <c r="F18" s="1" t="n"/>
    </row>
    <row r="19">
      <c r="A19" s="1" t="n"/>
      <c r="B19" s="9" t="inlineStr">
        <is>
          <t>Net profit before tax</t>
        </is>
      </c>
      <c r="C19" s="16">
        <f>C6-C18</f>
        <v/>
      </c>
      <c r="D19" s="14" t="inlineStr">
        <is>
          <t>Gross − expenses</t>
        </is>
      </c>
      <c r="E19" s="1" t="n"/>
      <c r="F19" s="1" t="n"/>
    </row>
    <row r="20">
      <c r="A20" s="1" t="n"/>
      <c r="B20" s="9" t="inlineStr">
        <is>
          <t>Self-employment tax (approx.)</t>
        </is>
      </c>
      <c r="C20" s="16">
        <f>MAX(0,C19)*C13*C12</f>
        <v/>
      </c>
      <c r="D20" s="14" t="inlineStr">
        <is>
          <t>Net × 92.35% × 15.3%</t>
        </is>
      </c>
      <c r="E20" s="1" t="n"/>
      <c r="F20" s="1" t="n"/>
    </row>
    <row r="21">
      <c r="A21" s="1" t="n"/>
      <c r="B21" s="9" t="inlineStr">
        <is>
          <t>Income tax (optional)</t>
        </is>
      </c>
      <c r="C21" s="16">
        <f>MAX(0,C19-C20/2)*C14</f>
        <v/>
      </c>
      <c r="D21" s="14" t="inlineStr">
        <is>
          <t>(Net − ½ SE tax) × your rate</t>
        </is>
      </c>
      <c r="E21" s="1" t="n"/>
      <c r="F21" s="1" t="n"/>
    </row>
    <row r="22">
      <c r="A22" s="1" t="n"/>
      <c r="B22" s="9" t="inlineStr">
        <is>
          <t>Take-home</t>
        </is>
      </c>
      <c r="C22" s="16">
        <f>C19-C20-C21</f>
        <v/>
      </c>
      <c r="D22" s="14" t="inlineStr">
        <is>
          <t>Net − taxes</t>
        </is>
      </c>
      <c r="E22" s="1" t="n"/>
      <c r="F22" s="1" t="n"/>
    </row>
    <row r="23">
      <c r="A23" s="1" t="n"/>
      <c r="B23" s="9" t="inlineStr">
        <is>
          <t>Advertised hourly (gross ÷ hours)</t>
        </is>
      </c>
      <c r="C23" s="16">
        <f>IF(C7&gt;0,C6/C7,"")</f>
        <v/>
      </c>
      <c r="D23" s="14" t="inlineStr">
        <is>
          <t>What the app/listing implies</t>
        </is>
      </c>
      <c r="E23" s="1" t="n"/>
      <c r="F23" s="1" t="n"/>
    </row>
    <row r="24" ht="26" customHeight="1">
      <c r="A24" s="1" t="n"/>
      <c r="B24" s="17" t="inlineStr">
        <is>
          <t>TRUE HOURLY PAY</t>
        </is>
      </c>
      <c r="C24" s="18">
        <f>IF(C7&gt;0,C22/C7,"")</f>
        <v/>
      </c>
      <c r="D24" s="14" t="inlineStr">
        <is>
          <t>Take-home ÷ ALL hours</t>
        </is>
      </c>
      <c r="E24" s="1" t="n"/>
      <c r="F24" s="1" t="n"/>
    </row>
    <row r="25">
      <c r="A25" s="1" t="n"/>
      <c r="B25" s="9" t="inlineStr">
        <is>
          <t>% of advertised pay you keep</t>
        </is>
      </c>
      <c r="C25" s="19">
        <f>IF(C6&gt;0,C22/C6,"")</f>
        <v/>
      </c>
      <c r="D25" s="14" t="inlineStr">
        <is>
          <t>Take-home ÷ gross</t>
        </is>
      </c>
      <c r="E25" s="1" t="n"/>
      <c r="F25" s="1" t="n"/>
    </row>
    <row r="26">
      <c r="A26" s="1" t="n"/>
      <c r="B26" s="1" t="n"/>
      <c r="C26" s="1" t="n"/>
      <c r="D26" s="1" t="n"/>
      <c r="E26" s="1" t="n"/>
      <c r="F26" s="1" t="n"/>
    </row>
    <row r="27" ht="30" customHeight="1">
      <c r="A27" s="1" t="n"/>
      <c r="B27" s="20" t="inlineStr">
        <is>
          <t>Check: with the EXAMPLE inputs this should show ≈ $12.33 true hourly (matches the Side Hustle Receipts post). Not tax advice; SE tax is generally owed only if your yearly net SE earnings are $400+.</t>
        </is>
      </c>
      <c r="E27" s="1" t="n"/>
      <c r="F27" s="1" t="n"/>
    </row>
    <row r="28">
      <c r="A28" s="1" t="n"/>
      <c r="E28" s="1" t="n"/>
      <c r="F28" s="1" t="n"/>
    </row>
    <row r="29">
      <c r="A29" s="1" t="n"/>
      <c r="B29" s="1" t="n"/>
      <c r="C29" s="1" t="n"/>
      <c r="D29" s="1" t="n"/>
      <c r="E29" s="1" t="n"/>
      <c r="F29" s="1" t="n"/>
    </row>
    <row r="30">
      <c r="A30" s="1" t="n"/>
      <c r="B30" s="1" t="n"/>
      <c r="C30" s="1" t="n"/>
      <c r="D30" s="1" t="n"/>
      <c r="E30" s="1" t="n"/>
      <c r="F30" s="1" t="n"/>
    </row>
    <row r="31">
      <c r="A31" s="1" t="n"/>
      <c r="B31" s="1" t="n"/>
      <c r="C31" s="1" t="n"/>
      <c r="D31" s="1" t="n"/>
      <c r="E31" s="1" t="n"/>
      <c r="F31" s="1" t="n"/>
    </row>
    <row r="32">
      <c r="A32" s="1" t="n"/>
      <c r="B32" s="1" t="n"/>
      <c r="C32" s="1" t="n"/>
      <c r="D32" s="1" t="n"/>
      <c r="E32" s="1" t="n"/>
      <c r="F32" s="1" t="n"/>
    </row>
    <row r="33">
      <c r="A33" s="1" t="n"/>
      <c r="B33" s="1" t="n"/>
      <c r="C33" s="1" t="n"/>
      <c r="D33" s="1" t="n"/>
      <c r="E33" s="1" t="n"/>
      <c r="F33" s="1" t="n"/>
    </row>
    <row r="34">
      <c r="A34" s="1" t="n"/>
      <c r="B34" s="1" t="n"/>
      <c r="C34" s="1" t="n"/>
      <c r="D34" s="1" t="n"/>
      <c r="E34" s="1" t="n"/>
      <c r="F34" s="1" t="n"/>
    </row>
    <row r="35">
      <c r="A35" s="1" t="n"/>
      <c r="B35" s="1" t="n"/>
      <c r="C35" s="1" t="n"/>
      <c r="D35" s="1" t="n"/>
      <c r="E35" s="1" t="n"/>
      <c r="F35" s="1" t="n"/>
    </row>
    <row r="36">
      <c r="A36" s="1" t="n"/>
      <c r="B36" s="1" t="n"/>
      <c r="C36" s="1" t="n"/>
      <c r="D36" s="1" t="n"/>
      <c r="E36" s="1" t="n"/>
      <c r="F36" s="1" t="n"/>
    </row>
    <row r="37">
      <c r="A37" s="1" t="n"/>
      <c r="B37" s="1" t="n"/>
      <c r="C37" s="1" t="n"/>
      <c r="D37" s="1" t="n"/>
      <c r="E37" s="1" t="n"/>
      <c r="F37" s="1" t="n"/>
    </row>
    <row r="38">
      <c r="A38" s="1" t="n"/>
      <c r="B38" s="1" t="n"/>
      <c r="C38" s="1" t="n"/>
      <c r="D38" s="1" t="n"/>
      <c r="E38" s="1" t="n"/>
      <c r="F38" s="1" t="n"/>
    </row>
    <row r="39">
      <c r="A39" s="1" t="n"/>
      <c r="B39" s="1" t="n"/>
      <c r="C39" s="1" t="n"/>
      <c r="D39" s="1" t="n"/>
      <c r="E39" s="1" t="n"/>
      <c r="F39" s="1" t="n"/>
    </row>
    <row r="40">
      <c r="A40" s="1" t="n"/>
      <c r="B40" s="1" t="n"/>
      <c r="C40" s="1" t="n"/>
      <c r="D40" s="1" t="n"/>
      <c r="E40" s="1" t="n"/>
      <c r="F40" s="1" t="n"/>
    </row>
  </sheetData>
  <mergeCells count="1">
    <mergeCell ref="B27:D2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34" customWidth="1" min="2" max="2"/>
    <col width="34" customWidth="1" min="3" max="3"/>
    <col width="9" customWidth="1" min="4" max="4"/>
    <col width="9" customWidth="1" min="5" max="5"/>
    <col width="10" customWidth="1" min="6" max="6"/>
    <col width="11" customWidth="1" min="7" max="7"/>
    <col width="12" customWidth="1" min="8" max="8"/>
    <col width="12" customWidth="1" min="9" max="9"/>
    <col width="11" customWidth="1" min="10" max="10"/>
    <col width="12" customWidth="1" min="11" max="11"/>
    <col width="12" customWidth="1" min="12" max="12"/>
    <col width="8" customWidth="1" min="13" max="13"/>
    <col width="4" customWidth="1" min="14" max="14"/>
    <col width="14" customWidth="1" min="15" max="15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</row>
    <row r="2">
      <c r="A2" s="1" t="n"/>
      <c r="B2" s="6" t="inlineStr">
        <is>
          <t>SIDE HUSTLE COMPARISON  ·  ranked by true hourly pay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</row>
    <row r="3" ht="30" customHeight="1">
      <c r="A3" s="1" t="n"/>
      <c r="B3" s="7" t="inlineStr">
        <is>
          <t>Up to 10 hustles. Enter one typical week (or one typical gig) per row. $/mile defaults to the calculator's rate; SE tax uses the calculator's settings. Rows 6–9 are EXAMPLE data (labeled) — overwrite or clear them.</t>
        </is>
      </c>
      <c r="N3" s="1" t="n"/>
      <c r="O3" s="1" t="n"/>
      <c r="P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</row>
    <row r="5" ht="42" customHeight="1">
      <c r="A5" s="1" t="n"/>
      <c r="B5" s="8" t="inlineStr">
        <is>
          <t>Hustle</t>
        </is>
      </c>
      <c r="C5" s="8" t="inlineStr">
        <is>
          <t>Gross pay</t>
        </is>
      </c>
      <c r="D5" s="8" t="inlineStr">
        <is>
          <t>Hours</t>
        </is>
      </c>
      <c r="E5" s="8" t="inlineStr">
        <is>
          <t>Miles</t>
        </is>
      </c>
      <c r="F5" s="8" t="inlineStr">
        <is>
          <t>$/mile</t>
        </is>
      </c>
      <c r="G5" s="8" t="inlineStr">
        <is>
          <t>Fees not yet deducted</t>
        </is>
      </c>
      <c r="H5" s="8" t="inlineStr">
        <is>
          <t>Other expenses</t>
        </is>
      </c>
      <c r="I5" s="8" t="inlineStr">
        <is>
          <t>Net profit</t>
        </is>
      </c>
      <c r="J5" s="8" t="inlineStr">
        <is>
          <t>SE tax</t>
        </is>
      </c>
      <c r="K5" s="8" t="inlineStr">
        <is>
          <t>Take-home</t>
        </is>
      </c>
      <c r="L5" s="8" t="inlineStr">
        <is>
          <t>TRUE HOURLY</t>
        </is>
      </c>
      <c r="M5" s="8" t="inlineStr">
        <is>
          <t>Rank</t>
        </is>
      </c>
      <c r="N5" s="1" t="n"/>
      <c r="O5" s="21" t="inlineStr">
        <is>
          <t>helper (ignore)</t>
        </is>
      </c>
      <c r="P5" s="1" t="n"/>
    </row>
    <row r="6">
      <c r="A6" s="1" t="n"/>
      <c r="B6" s="22" t="inlineStr">
        <is>
          <t>EXAMPLE: Food delivery (1 wk)</t>
        </is>
      </c>
      <c r="C6" s="10" t="n">
        <v>146.6</v>
      </c>
      <c r="D6" s="12" t="n">
        <v>10</v>
      </c>
      <c r="E6" s="23" t="n">
        <v>130</v>
      </c>
      <c r="F6" s="13">
        <f>'Hourly Pay Calculator'!$C$9</f>
        <v/>
      </c>
      <c r="G6" s="10" t="n">
        <v>0</v>
      </c>
      <c r="H6" s="10" t="n">
        <v>0</v>
      </c>
      <c r="I6" s="16">
        <f>IF(B6="","",C6-E6*F6-G6-H6)</f>
        <v/>
      </c>
      <c r="J6" s="16">
        <f>IF(B6="","",MAX(0,I6)*'Hourly Pay Calculator'!$C$13*'Hourly Pay Calculator'!$C$12)</f>
        <v/>
      </c>
      <c r="K6" s="16">
        <f>IF(B6="","",I6-J6)</f>
        <v/>
      </c>
      <c r="L6" s="24">
        <f>IF(OR(B6="",N(D6)&lt;=0),"",K6/D6)</f>
        <v/>
      </c>
      <c r="M6" s="25">
        <f>IF(L6="","",RANK(L6,$L$6:$L$15,0))</f>
        <v/>
      </c>
      <c r="N6" s="1" t="n"/>
      <c r="O6" s="26">
        <f>IF(L6="","",L6-ROW()/1000000000)</f>
        <v/>
      </c>
      <c r="P6" s="1" t="n"/>
    </row>
    <row r="7">
      <c r="A7" s="1" t="n"/>
      <c r="B7" s="22" t="inlineStr">
        <is>
          <t>EXAMPLE: Tutoring on a platform (1 wk)</t>
        </is>
      </c>
      <c r="C7" s="10" t="n">
        <v>160</v>
      </c>
      <c r="D7" s="12" t="n">
        <v>5</v>
      </c>
      <c r="E7" s="23" t="n">
        <v>0</v>
      </c>
      <c r="F7" s="13">
        <f>'Hourly Pay Calculator'!$C$9</f>
        <v/>
      </c>
      <c r="G7" s="10" t="n">
        <v>40</v>
      </c>
      <c r="H7" s="10" t="n">
        <v>0</v>
      </c>
      <c r="I7" s="16">
        <f>IF(B7="","",C7-E7*F7-G7-H7)</f>
        <v/>
      </c>
      <c r="J7" s="16">
        <f>IF(B7="","",MAX(0,I7)*'Hourly Pay Calculator'!$C$13*'Hourly Pay Calculator'!$C$12)</f>
        <v/>
      </c>
      <c r="K7" s="16">
        <f>IF(B7="","",I7-J7)</f>
        <v/>
      </c>
      <c r="L7" s="24">
        <f>IF(OR(B7="",N(D7)&lt;=0),"",K7/D7)</f>
        <v/>
      </c>
      <c r="M7" s="25">
        <f>IF(L7="","",RANK(L7,$L$6:$L$15,0))</f>
        <v/>
      </c>
      <c r="N7" s="1" t="n"/>
      <c r="O7" s="26">
        <f>IF(L7="","",L7-ROW()/1000000000)</f>
        <v/>
      </c>
      <c r="P7" s="1" t="n"/>
    </row>
    <row r="8">
      <c r="A8" s="1" t="n"/>
      <c r="B8" s="22" t="inlineStr">
        <is>
          <t>EXAMPLE: Dog walking app (1 wk)</t>
        </is>
      </c>
      <c r="C8" s="10" t="n">
        <v>125</v>
      </c>
      <c r="D8" s="12" t="n">
        <v>3.75</v>
      </c>
      <c r="E8" s="23" t="n">
        <v>20</v>
      </c>
      <c r="F8" s="13">
        <f>'Hourly Pay Calculator'!$C$9</f>
        <v/>
      </c>
      <c r="G8" s="10" t="n">
        <v>25</v>
      </c>
      <c r="H8" s="10" t="n">
        <v>0</v>
      </c>
      <c r="I8" s="16">
        <f>IF(B8="","",C8-E8*F8-G8-H8)</f>
        <v/>
      </c>
      <c r="J8" s="16">
        <f>IF(B8="","",MAX(0,I8)*'Hourly Pay Calculator'!$C$13*'Hourly Pay Calculator'!$C$12)</f>
        <v/>
      </c>
      <c r="K8" s="16">
        <f>IF(B8="","",I8-J8)</f>
        <v/>
      </c>
      <c r="L8" s="24">
        <f>IF(OR(B8="",N(D8)&lt;=0),"",K8/D8)</f>
        <v/>
      </c>
      <c r="M8" s="25">
        <f>IF(L8="","",RANK(L8,$L$6:$L$15,0))</f>
        <v/>
      </c>
      <c r="N8" s="1" t="n"/>
      <c r="O8" s="26">
        <f>IF(L8="","",L8-ROW()/1000000000)</f>
        <v/>
      </c>
      <c r="P8" s="1" t="n"/>
    </row>
    <row r="9">
      <c r="A9" s="1" t="n"/>
      <c r="B9" s="22" t="inlineStr">
        <is>
          <t>EXAMPLE: Etsy templates (month 1)</t>
        </is>
      </c>
      <c r="C9" s="10" t="n">
        <v>120</v>
      </c>
      <c r="D9" s="12" t="n">
        <v>20</v>
      </c>
      <c r="E9" s="23" t="n">
        <v>0</v>
      </c>
      <c r="F9" s="13">
        <f>'Hourly Pay Calculator'!$C$9</f>
        <v/>
      </c>
      <c r="G9" s="10" t="n">
        <v>15.9</v>
      </c>
      <c r="H9" s="10" t="n">
        <v>0</v>
      </c>
      <c r="I9" s="16">
        <f>IF(B9="","",C9-E9*F9-G9-H9)</f>
        <v/>
      </c>
      <c r="J9" s="16">
        <f>IF(B9="","",MAX(0,I9)*'Hourly Pay Calculator'!$C$13*'Hourly Pay Calculator'!$C$12)</f>
        <v/>
      </c>
      <c r="K9" s="16">
        <f>IF(B9="","",I9-J9)</f>
        <v/>
      </c>
      <c r="L9" s="24">
        <f>IF(OR(B9="",N(D9)&lt;=0),"",K9/D9)</f>
        <v/>
      </c>
      <c r="M9" s="25">
        <f>IF(L9="","",RANK(L9,$L$6:$L$15,0))</f>
        <v/>
      </c>
      <c r="N9" s="1" t="n"/>
      <c r="O9" s="26">
        <f>IF(L9="","",L9-ROW()/1000000000)</f>
        <v/>
      </c>
      <c r="P9" s="1" t="n"/>
    </row>
    <row r="10">
      <c r="A10" s="1" t="n"/>
      <c r="B10" s="27" t="n"/>
      <c r="C10" s="10" t="n"/>
      <c r="D10" s="12" t="n"/>
      <c r="E10" s="23" t="n"/>
      <c r="F10" s="13">
        <f>'Hourly Pay Calculator'!$C$9</f>
        <v/>
      </c>
      <c r="G10" s="10" t="n"/>
      <c r="H10" s="10" t="n"/>
      <c r="I10" s="16">
        <f>IF(B10="","",C10-E10*F10-G10-H10)</f>
        <v/>
      </c>
      <c r="J10" s="16">
        <f>IF(B10="","",MAX(0,I10)*'Hourly Pay Calculator'!$C$13*'Hourly Pay Calculator'!$C$12)</f>
        <v/>
      </c>
      <c r="K10" s="16">
        <f>IF(B10="","",I10-J10)</f>
        <v/>
      </c>
      <c r="L10" s="24">
        <f>IF(OR(B10="",N(D10)&lt;=0),"",K10/D10)</f>
        <v/>
      </c>
      <c r="M10" s="25">
        <f>IF(L10="","",RANK(L10,$L$6:$L$15,0))</f>
        <v/>
      </c>
      <c r="N10" s="1" t="n"/>
      <c r="O10" s="26">
        <f>IF(L10="","",L10-ROW()/1000000000)</f>
        <v/>
      </c>
      <c r="P10" s="1" t="n"/>
    </row>
    <row r="11">
      <c r="A11" s="1" t="n"/>
      <c r="B11" s="27" t="n"/>
      <c r="C11" s="10" t="n"/>
      <c r="D11" s="12" t="n"/>
      <c r="E11" s="23" t="n"/>
      <c r="F11" s="13">
        <f>'Hourly Pay Calculator'!$C$9</f>
        <v/>
      </c>
      <c r="G11" s="10" t="n"/>
      <c r="H11" s="10" t="n"/>
      <c r="I11" s="16">
        <f>IF(B11="","",C11-E11*F11-G11-H11)</f>
        <v/>
      </c>
      <c r="J11" s="16">
        <f>IF(B11="","",MAX(0,I11)*'Hourly Pay Calculator'!$C$13*'Hourly Pay Calculator'!$C$12)</f>
        <v/>
      </c>
      <c r="K11" s="16">
        <f>IF(B11="","",I11-J11)</f>
        <v/>
      </c>
      <c r="L11" s="24">
        <f>IF(OR(B11="",N(D11)&lt;=0),"",K11/D11)</f>
        <v/>
      </c>
      <c r="M11" s="25">
        <f>IF(L11="","",RANK(L11,$L$6:$L$15,0))</f>
        <v/>
      </c>
      <c r="N11" s="1" t="n"/>
      <c r="O11" s="26">
        <f>IF(L11="","",L11-ROW()/1000000000)</f>
        <v/>
      </c>
      <c r="P11" s="1" t="n"/>
    </row>
    <row r="12">
      <c r="A12" s="1" t="n"/>
      <c r="B12" s="27" t="n"/>
      <c r="C12" s="10" t="n"/>
      <c r="D12" s="12" t="n"/>
      <c r="E12" s="23" t="n"/>
      <c r="F12" s="13">
        <f>'Hourly Pay Calculator'!$C$9</f>
        <v/>
      </c>
      <c r="G12" s="10" t="n"/>
      <c r="H12" s="10" t="n"/>
      <c r="I12" s="16">
        <f>IF(B12="","",C12-E12*F12-G12-H12)</f>
        <v/>
      </c>
      <c r="J12" s="16">
        <f>IF(B12="","",MAX(0,I12)*'Hourly Pay Calculator'!$C$13*'Hourly Pay Calculator'!$C$12)</f>
        <v/>
      </c>
      <c r="K12" s="16">
        <f>IF(B12="","",I12-J12)</f>
        <v/>
      </c>
      <c r="L12" s="24">
        <f>IF(OR(B12="",N(D12)&lt;=0),"",K12/D12)</f>
        <v/>
      </c>
      <c r="M12" s="25">
        <f>IF(L12="","",RANK(L12,$L$6:$L$15,0))</f>
        <v/>
      </c>
      <c r="N12" s="1" t="n"/>
      <c r="O12" s="26">
        <f>IF(L12="","",L12-ROW()/1000000000)</f>
        <v/>
      </c>
      <c r="P12" s="1" t="n"/>
    </row>
    <row r="13">
      <c r="A13" s="1" t="n"/>
      <c r="B13" s="27" t="n"/>
      <c r="C13" s="10" t="n"/>
      <c r="D13" s="12" t="n"/>
      <c r="E13" s="23" t="n"/>
      <c r="F13" s="13">
        <f>'Hourly Pay Calculator'!$C$9</f>
        <v/>
      </c>
      <c r="G13" s="10" t="n"/>
      <c r="H13" s="10" t="n"/>
      <c r="I13" s="16">
        <f>IF(B13="","",C13-E13*F13-G13-H13)</f>
        <v/>
      </c>
      <c r="J13" s="16">
        <f>IF(B13="","",MAX(0,I13)*'Hourly Pay Calculator'!$C$13*'Hourly Pay Calculator'!$C$12)</f>
        <v/>
      </c>
      <c r="K13" s="16">
        <f>IF(B13="","",I13-J13)</f>
        <v/>
      </c>
      <c r="L13" s="24">
        <f>IF(OR(B13="",N(D13)&lt;=0),"",K13/D13)</f>
        <v/>
      </c>
      <c r="M13" s="25">
        <f>IF(L13="","",RANK(L13,$L$6:$L$15,0))</f>
        <v/>
      </c>
      <c r="N13" s="1" t="n"/>
      <c r="O13" s="26">
        <f>IF(L13="","",L13-ROW()/1000000000)</f>
        <v/>
      </c>
      <c r="P13" s="1" t="n"/>
    </row>
    <row r="14">
      <c r="A14" s="1" t="n"/>
      <c r="B14" s="27" t="n"/>
      <c r="C14" s="10" t="n"/>
      <c r="D14" s="12" t="n"/>
      <c r="E14" s="23" t="n"/>
      <c r="F14" s="13">
        <f>'Hourly Pay Calculator'!$C$9</f>
        <v/>
      </c>
      <c r="G14" s="10" t="n"/>
      <c r="H14" s="10" t="n"/>
      <c r="I14" s="16">
        <f>IF(B14="","",C14-E14*F14-G14-H14)</f>
        <v/>
      </c>
      <c r="J14" s="16">
        <f>IF(B14="","",MAX(0,I14)*'Hourly Pay Calculator'!$C$13*'Hourly Pay Calculator'!$C$12)</f>
        <v/>
      </c>
      <c r="K14" s="16">
        <f>IF(B14="","",I14-J14)</f>
        <v/>
      </c>
      <c r="L14" s="24">
        <f>IF(OR(B14="",N(D14)&lt;=0),"",K14/D14)</f>
        <v/>
      </c>
      <c r="M14" s="25">
        <f>IF(L14="","",RANK(L14,$L$6:$L$15,0))</f>
        <v/>
      </c>
      <c r="N14" s="1" t="n"/>
      <c r="O14" s="26">
        <f>IF(L14="","",L14-ROW()/1000000000)</f>
        <v/>
      </c>
      <c r="P14" s="1" t="n"/>
    </row>
    <row r="15">
      <c r="A15" s="1" t="n"/>
      <c r="B15" s="27" t="n"/>
      <c r="C15" s="10" t="n"/>
      <c r="D15" s="12" t="n"/>
      <c r="E15" s="23" t="n"/>
      <c r="F15" s="13">
        <f>'Hourly Pay Calculator'!$C$9</f>
        <v/>
      </c>
      <c r="G15" s="10" t="n"/>
      <c r="H15" s="10" t="n"/>
      <c r="I15" s="16">
        <f>IF(B15="","",C15-E15*F15-G15-H15)</f>
        <v/>
      </c>
      <c r="J15" s="16">
        <f>IF(B15="","",MAX(0,I15)*'Hourly Pay Calculator'!$C$13*'Hourly Pay Calculator'!$C$12)</f>
        <v/>
      </c>
      <c r="K15" s="16">
        <f>IF(B15="","",I15-J15)</f>
        <v/>
      </c>
      <c r="L15" s="24">
        <f>IF(OR(B15="",N(D15)&lt;=0),"",K15/D15)</f>
        <v/>
      </c>
      <c r="M15" s="25">
        <f>IF(L15="","",RANK(L15,$L$6:$L$15,0))</f>
        <v/>
      </c>
      <c r="N15" s="1" t="n"/>
      <c r="O15" s="26">
        <f>IF(L15="","",L15-ROW()/1000000000)</f>
        <v/>
      </c>
      <c r="P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</row>
    <row r="17" ht="28" customHeight="1">
      <c r="A17" s="1" t="n"/>
      <c r="B17" s="20" t="inlineStr">
        <is>
          <t>Notes: EXAMPLE rows are illustrations built from the ebook's worked examples (food delivery gross ≈ Gridwise 2025 avg $14.66/hr × 10 hrs; 13 mi/hr is an assumption). Fees column = platform cut not already removed. Not tax advice.</t>
        </is>
      </c>
      <c r="N17" s="1" t="n"/>
      <c r="O17" s="1" t="n"/>
      <c r="P17" s="1" t="n"/>
    </row>
    <row r="18">
      <c r="A18" s="1" t="n"/>
      <c r="N18" s="1" t="n"/>
      <c r="O18" s="1" t="n"/>
      <c r="P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</row>
    <row r="20">
      <c r="A20" s="1" t="n"/>
      <c r="B20" s="28" t="inlineStr">
        <is>
          <t>LEADERBOARD (auto-sorted)</t>
        </is>
      </c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</row>
    <row r="21">
      <c r="A21" s="1" t="n"/>
      <c r="B21" s="8" t="inlineStr">
        <is>
          <t>#</t>
        </is>
      </c>
      <c r="C21" s="8" t="inlineStr">
        <is>
          <t>Hustle</t>
        </is>
      </c>
      <c r="D21" s="8" t="inlineStr">
        <is>
          <t>True hourly</t>
        </is>
      </c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</row>
    <row r="22">
      <c r="A22" s="1" t="n"/>
      <c r="B22" s="29" t="n">
        <v>1</v>
      </c>
      <c r="C22" s="30">
        <f>IFERROR(INDEX($B$6:$B$15,MATCH(LARGE($O$6:$O$15,1),$O$6:$O$15,0)),"")</f>
        <v/>
      </c>
      <c r="D22" s="24">
        <f>IFERROR(INDEX($L$6:$L$15,MATCH(LARGE($O$6:$O$15,1),$O$6:$O$15,0)),"")</f>
        <v/>
      </c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</row>
    <row r="23">
      <c r="A23" s="1" t="n"/>
      <c r="B23" s="29" t="n">
        <v>2</v>
      </c>
      <c r="C23" s="30">
        <f>IFERROR(INDEX($B$6:$B$15,MATCH(LARGE($O$6:$O$15,2),$O$6:$O$15,0)),"")</f>
        <v/>
      </c>
      <c r="D23" s="16">
        <f>IFERROR(INDEX($L$6:$L$15,MATCH(LARGE($O$6:$O$15,2),$O$6:$O$15,0)),"")</f>
        <v/>
      </c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</row>
    <row r="24">
      <c r="A24" s="1" t="n"/>
      <c r="B24" s="29" t="n">
        <v>3</v>
      </c>
      <c r="C24" s="30">
        <f>IFERROR(INDEX($B$6:$B$15,MATCH(LARGE($O$6:$O$15,3),$O$6:$O$15,0)),"")</f>
        <v/>
      </c>
      <c r="D24" s="16">
        <f>IFERROR(INDEX($L$6:$L$15,MATCH(LARGE($O$6:$O$15,3),$O$6:$O$15,0)),"")</f>
        <v/>
      </c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</row>
    <row r="25">
      <c r="A25" s="1" t="n"/>
      <c r="B25" s="29" t="n">
        <v>4</v>
      </c>
      <c r="C25" s="30">
        <f>IFERROR(INDEX($B$6:$B$15,MATCH(LARGE($O$6:$O$15,4),$O$6:$O$15,0)),"")</f>
        <v/>
      </c>
      <c r="D25" s="16">
        <f>IFERROR(INDEX($L$6:$L$15,MATCH(LARGE($O$6:$O$15,4),$O$6:$O$15,0)),"")</f>
        <v/>
      </c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</row>
    <row r="26">
      <c r="A26" s="1" t="n"/>
      <c r="B26" s="29" t="n">
        <v>5</v>
      </c>
      <c r="C26" s="30">
        <f>IFERROR(INDEX($B$6:$B$15,MATCH(LARGE($O$6:$O$15,5),$O$6:$O$15,0)),"")</f>
        <v/>
      </c>
      <c r="D26" s="16">
        <f>IFERROR(INDEX($L$6:$L$15,MATCH(LARGE($O$6:$O$15,5),$O$6:$O$15,0)),"")</f>
        <v/>
      </c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</row>
    <row r="27">
      <c r="A27" s="1" t="n"/>
      <c r="B27" s="29" t="n">
        <v>6</v>
      </c>
      <c r="C27" s="30">
        <f>IFERROR(INDEX($B$6:$B$15,MATCH(LARGE($O$6:$O$15,6),$O$6:$O$15,0)),"")</f>
        <v/>
      </c>
      <c r="D27" s="16">
        <f>IFERROR(INDEX($L$6:$L$15,MATCH(LARGE($O$6:$O$15,6),$O$6:$O$15,0)),"")</f>
        <v/>
      </c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</row>
    <row r="28">
      <c r="A28" s="1" t="n"/>
      <c r="B28" s="29" t="n">
        <v>7</v>
      </c>
      <c r="C28" s="30">
        <f>IFERROR(INDEX($B$6:$B$15,MATCH(LARGE($O$6:$O$15,7),$O$6:$O$15,0)),"")</f>
        <v/>
      </c>
      <c r="D28" s="16">
        <f>IFERROR(INDEX($L$6:$L$15,MATCH(LARGE($O$6:$O$15,7),$O$6:$O$15,0)),"")</f>
        <v/>
      </c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</row>
    <row r="29">
      <c r="A29" s="1" t="n"/>
      <c r="B29" s="29" t="n">
        <v>8</v>
      </c>
      <c r="C29" s="30">
        <f>IFERROR(INDEX($B$6:$B$15,MATCH(LARGE($O$6:$O$15,8),$O$6:$O$15,0)),"")</f>
        <v/>
      </c>
      <c r="D29" s="16">
        <f>IFERROR(INDEX($L$6:$L$15,MATCH(LARGE($O$6:$O$15,8),$O$6:$O$15,0)),"")</f>
        <v/>
      </c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</row>
    <row r="30">
      <c r="A30" s="1" t="n"/>
      <c r="B30" s="29" t="n">
        <v>9</v>
      </c>
      <c r="C30" s="30">
        <f>IFERROR(INDEX($B$6:$B$15,MATCH(LARGE($O$6:$O$15,9),$O$6:$O$15,0)),"")</f>
        <v/>
      </c>
      <c r="D30" s="16">
        <f>IFERROR(INDEX($L$6:$L$15,MATCH(LARGE($O$6:$O$15,9),$O$6:$O$15,0)),"")</f>
        <v/>
      </c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</row>
    <row r="31">
      <c r="A31" s="1" t="n"/>
      <c r="B31" s="29" t="n">
        <v>10</v>
      </c>
      <c r="C31" s="30">
        <f>IFERROR(INDEX($B$6:$B$15,MATCH(LARGE($O$6:$O$15,10),$O$6:$O$15,0)),"")</f>
        <v/>
      </c>
      <c r="D31" s="16">
        <f>IFERROR(INDEX($L$6:$L$15,MATCH(LARGE($O$6:$O$15,10),$O$6:$O$15,0)),"")</f>
        <v/>
      </c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</row>
  </sheetData>
  <mergeCells count="2">
    <mergeCell ref="B3:M3"/>
    <mergeCell ref="B17:M1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42" customWidth="1" min="2" max="2"/>
    <col width="14" customWidth="1" min="3" max="3"/>
    <col width="14" customWidth="1" min="4" max="4"/>
    <col width="14" customWidth="1" min="5" max="5"/>
    <col width="14" customWidth="1" min="6" max="6"/>
    <col width="60" customWidth="1" min="7" max="7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>
      <c r="A2" s="1" t="n"/>
      <c r="B2" s="6" t="inlineStr">
        <is>
          <t>DIGITAL PRODUCT FEE CALCULATOR  ·  Etsy vs Gumroad vs Payhip</t>
        </is>
      </c>
      <c r="C2" s="1" t="n"/>
      <c r="D2" s="1" t="n"/>
      <c r="E2" s="1" t="n"/>
      <c r="F2" s="1" t="n"/>
      <c r="G2" s="1" t="n"/>
      <c r="H2" s="1" t="n"/>
      <c r="I2" s="1" t="n"/>
    </row>
    <row r="3">
      <c r="A3" s="1" t="n"/>
      <c r="B3" s="7" t="inlineStr">
        <is>
          <t>Yellow = inputs and fee rates (update when platforms change their fees). Pre-filled price is an EXAMPLE.</t>
        </is>
      </c>
      <c r="C3" s="1" t="n"/>
      <c r="D3" s="1" t="n"/>
      <c r="E3" s="1" t="n"/>
      <c r="F3" s="1" t="n"/>
      <c r="G3" s="1" t="n"/>
      <c r="H3" s="1" t="n"/>
      <c r="I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</row>
    <row r="5">
      <c r="A5" s="1" t="n"/>
      <c r="B5" s="8" t="inlineStr">
        <is>
          <t>YOUR SALE</t>
        </is>
      </c>
      <c r="C5" s="8" t="inlineStr">
        <is>
          <t>VALUE</t>
        </is>
      </c>
      <c r="D5" s="1" t="n"/>
      <c r="E5" s="1" t="n"/>
      <c r="F5" s="1" t="n"/>
      <c r="G5" s="8" t="inlineStr">
        <is>
          <t>NOTES</t>
        </is>
      </c>
      <c r="H5" s="1" t="n"/>
      <c r="I5" s="1" t="n"/>
    </row>
    <row r="6">
      <c r="A6" s="1" t="n"/>
      <c r="B6" s="9" t="inlineStr">
        <is>
          <t>Product price ($)</t>
        </is>
      </c>
      <c r="C6" s="10" t="n">
        <v>12</v>
      </c>
      <c r="D6" s="1" t="n"/>
      <c r="E6" s="1" t="n"/>
      <c r="F6" s="1" t="n"/>
      <c r="G6" s="11" t="inlineStr">
        <is>
          <t>EXAMPLE price.</t>
        </is>
      </c>
      <c r="H6" s="1" t="n"/>
      <c r="I6" s="1" t="n"/>
    </row>
    <row r="7">
      <c r="A7" s="1" t="n"/>
      <c r="B7" s="9" t="inlineStr">
        <is>
          <t>Number of sales (for totals)</t>
        </is>
      </c>
      <c r="C7" s="23" t="n">
        <v>10</v>
      </c>
      <c r="D7" s="1" t="n"/>
      <c r="E7" s="1" t="n"/>
      <c r="F7" s="1" t="n"/>
      <c r="G7" s="11" t="inlineStr">
        <is>
          <t>EXAMPLE count.</t>
        </is>
      </c>
      <c r="H7" s="1" t="n"/>
      <c r="I7" s="1" t="n"/>
    </row>
    <row r="8">
      <c r="A8" s="1" t="n"/>
      <c r="B8" s="9" t="inlineStr">
        <is>
          <t>Sales tax collected on the order ($)</t>
        </is>
      </c>
      <c r="C8" s="10" t="n">
        <v>0</v>
      </c>
      <c r="D8" s="1" t="n"/>
      <c r="E8" s="1" t="n"/>
      <c r="F8" s="1" t="n"/>
      <c r="G8" s="14" t="inlineStr">
        <is>
          <t>Etsy's processing fee is charged on the total incl. tax. Leave 0 if unsure.</t>
        </is>
      </c>
      <c r="H8" s="1" t="n"/>
      <c r="I8" s="1" t="n"/>
    </row>
    <row r="9">
      <c r="A9" s="1" t="n"/>
      <c r="B9" s="9" t="inlineStr">
        <is>
          <t>Etsy: sale came from Offsite Ads? (rate)</t>
        </is>
      </c>
      <c r="C9" s="15" t="n">
        <v>0</v>
      </c>
      <c r="D9" s="1" t="n"/>
      <c r="E9" s="1" t="n"/>
      <c r="F9" s="1" t="n"/>
      <c r="G9" s="14" t="inlineStr">
        <is>
          <t>0% normally; 15% (or 12% for shops over $10k/yr) when Etsy's Offsite Ads drove the sale. Etsy Fees &amp; Payments Policy.</t>
        </is>
      </c>
      <c r="H9" s="1" t="n"/>
      <c r="I9" s="1" t="n"/>
    </row>
    <row r="10">
      <c r="A10" s="1" t="n"/>
      <c r="B10" s="9" t="inlineStr">
        <is>
          <t>Gumroad: sale came via Discover marketplace? (1=yes, 0=no)</t>
        </is>
      </c>
      <c r="C10" s="31" t="n">
        <v>0</v>
      </c>
      <c r="D10" s="1" t="n"/>
      <c r="E10" s="1" t="n"/>
      <c r="F10" s="1" t="n"/>
      <c r="G10" s="14" t="inlineStr">
        <is>
          <t>Discover sales are a flat 30% incl. processing (Gumroad help).</t>
        </is>
      </c>
      <c r="H10" s="1" t="n"/>
      <c r="I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</row>
    <row r="12">
      <c r="A12" s="1" t="n"/>
      <c r="B12" s="8" t="inlineStr">
        <is>
          <t>FEE RATES (edit if they change)</t>
        </is>
      </c>
      <c r="C12" s="8" t="inlineStr">
        <is>
          <t>Etsy</t>
        </is>
      </c>
      <c r="D12" s="8" t="inlineStr">
        <is>
          <t>Gumroad</t>
        </is>
      </c>
      <c r="E12" s="8" t="inlineStr">
        <is>
          <t>Payhip (Free)</t>
        </is>
      </c>
      <c r="F12" s="1" t="n"/>
      <c r="G12" s="8" t="inlineStr">
        <is>
          <t>SOURCE</t>
        </is>
      </c>
      <c r="H12" s="1" t="n"/>
      <c r="I12" s="1" t="n"/>
    </row>
    <row r="13" ht="28" customHeight="1">
      <c r="A13" s="1" t="n"/>
      <c r="B13" s="9" t="inlineStr">
        <is>
          <t>Listing fee per sale ($)</t>
        </is>
      </c>
      <c r="C13" s="10" t="n">
        <v>0.2</v>
      </c>
      <c r="D13" s="10" t="n">
        <v>0</v>
      </c>
      <c r="E13" s="10" t="n">
        <v>0</v>
      </c>
      <c r="F13" s="1" t="n"/>
      <c r="G13" s="32" t="inlineStr">
        <is>
          <t>Etsy $0.20 per listing (renews after each sale): https://www.etsy.com/legal/fees/</t>
        </is>
      </c>
      <c r="H13" s="1" t="n"/>
      <c r="I13" s="1" t="n"/>
    </row>
    <row r="14" ht="28" customHeight="1">
      <c r="A14" s="1" t="n"/>
      <c r="B14" s="9" t="inlineStr">
        <is>
          <t>Platform % fee</t>
        </is>
      </c>
      <c r="C14" s="15" t="n">
        <v>0.065</v>
      </c>
      <c r="D14" s="15" t="n">
        <v>0.1</v>
      </c>
      <c r="E14" s="15" t="n">
        <v>0.05</v>
      </c>
      <c r="F14" s="1" t="n"/>
      <c r="G14" s="32" t="inlineStr">
        <is>
          <t>Etsy 6.5% transaction fee · Gumroad 10% (direct) https://gumroad.com/help/article/66-gumroads-fees · Payhip Free plan 5% https://payhip.com/pricing</t>
        </is>
      </c>
      <c r="H14" s="1" t="n"/>
      <c r="I14" s="1" t="n"/>
    </row>
    <row r="15" ht="28" customHeight="1">
      <c r="A15" s="1" t="n"/>
      <c r="B15" s="9" t="inlineStr">
        <is>
          <t>Platform flat fee per sale ($)</t>
        </is>
      </c>
      <c r="C15" s="10" t="n">
        <v>0</v>
      </c>
      <c r="D15" s="10" t="n">
        <v>0.5</v>
      </c>
      <c r="E15" s="10" t="n">
        <v>0</v>
      </c>
      <c r="F15" s="1" t="n"/>
      <c r="G15" s="32" t="inlineStr">
        <is>
          <t>Gumroad $0.50 per sale</t>
        </is>
      </c>
      <c r="H15" s="1" t="n"/>
      <c r="I15" s="1" t="n"/>
    </row>
    <row r="16" ht="28" customHeight="1">
      <c r="A16" s="1" t="n"/>
      <c r="B16" s="9" t="inlineStr">
        <is>
          <t>Payment processing %</t>
        </is>
      </c>
      <c r="C16" s="15" t="n">
        <v>0.03</v>
      </c>
      <c r="D16" s="15" t="n">
        <v>0.029</v>
      </c>
      <c r="E16" s="15" t="n">
        <v>0.029</v>
      </c>
      <c r="F16" s="1" t="n"/>
      <c r="G16" s="32" t="inlineStr">
        <is>
          <t>Etsy US 3% https://help.etsy.com/hc/en-us/articles/115015628847 · Gumroad card 2.9% · Payhip passes Stripe/PayPal standard rates; Stripe US cards 2.9% https://stripe.com/pricing</t>
        </is>
      </c>
      <c r="H16" s="1" t="n"/>
      <c r="I16" s="1" t="n"/>
    </row>
    <row r="17" ht="28" customHeight="1">
      <c r="A17" s="1" t="n"/>
      <c r="B17" s="9" t="inlineStr">
        <is>
          <t>Payment processing flat ($)</t>
        </is>
      </c>
      <c r="C17" s="10" t="n">
        <v>0.25</v>
      </c>
      <c r="D17" s="10" t="n">
        <v>0.3</v>
      </c>
      <c r="E17" s="10" t="n">
        <v>0.3</v>
      </c>
      <c r="F17" s="1" t="n"/>
      <c r="G17" s="32" t="inlineStr">
        <is>
          <t>Etsy $0.25 · Gumroad card $0.30 · Stripe 30¢</t>
        </is>
      </c>
      <c r="H17" s="1" t="n"/>
      <c r="I17" s="1" t="n"/>
    </row>
    <row r="18" ht="28" customHeight="1">
      <c r="A18" s="1" t="n"/>
      <c r="B18" s="9" t="inlineStr">
        <is>
          <t>Marketplace (Discover) all-in rate</t>
        </is>
      </c>
      <c r="C18" s="15" t="n">
        <v>0</v>
      </c>
      <c r="D18" s="15" t="n">
        <v>0.3</v>
      </c>
      <c r="E18" s="15" t="n">
        <v>0</v>
      </c>
      <c r="F18" s="1" t="n"/>
      <c r="G18" s="32" t="inlineStr">
        <is>
          <t>Gumroad Discover: flat 30%</t>
        </is>
      </c>
      <c r="H18" s="1" t="n"/>
      <c r="I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</row>
    <row r="20">
      <c r="A20" s="1" t="n"/>
      <c r="B20" s="8" t="inlineStr">
        <is>
          <t>RESULT PER SALE</t>
        </is>
      </c>
      <c r="C20" s="8" t="inlineStr">
        <is>
          <t>Etsy</t>
        </is>
      </c>
      <c r="D20" s="8" t="inlineStr">
        <is>
          <t>Gumroad</t>
        </is>
      </c>
      <c r="E20" s="8" t="inlineStr">
        <is>
          <t>Payhip (Free)</t>
        </is>
      </c>
      <c r="F20" s="1" t="n"/>
      <c r="G20" s="8" t="inlineStr">
        <is>
          <t>HOW</t>
        </is>
      </c>
      <c r="H20" s="1" t="n"/>
      <c r="I20" s="1" t="n"/>
    </row>
    <row r="21" ht="36" customHeight="1">
      <c r="A21" s="1" t="n"/>
      <c r="B21" s="33" t="inlineStr">
        <is>
          <t>Total fees per sale</t>
        </is>
      </c>
      <c r="C21" s="16">
        <f>C13+C14*C6+C9*C6+C16*(C6+C8)+C17</f>
        <v/>
      </c>
      <c r="D21" s="16">
        <f>IF(C10=1,D18*C6,D14*C6+D15+D16*C6+D17)</f>
        <v/>
      </c>
      <c r="E21" s="16">
        <f>E13+E14*C6+E15+E16*C6+E17</f>
        <v/>
      </c>
      <c r="F21" s="1" t="n"/>
      <c r="G21" s="32" t="inlineStr">
        <is>
          <t>Etsy: listing + 6.5% + Offsite Ads (if any) + 3% of (price+tax) + $0.25 · Gumroad: 10% + $0.50 + 2.9% + $0.30 (or 30% Discover) · Payhip: 5% + 2.9% + $0.30</t>
        </is>
      </c>
      <c r="H21" s="1" t="n"/>
      <c r="I21" s="1" t="n"/>
    </row>
    <row r="22">
      <c r="A22" s="1" t="n"/>
      <c r="B22" s="34" t="inlineStr">
        <is>
          <t>You keep per sale</t>
        </is>
      </c>
      <c r="C22" s="24">
        <f>C6-C21</f>
        <v/>
      </c>
      <c r="D22" s="24">
        <f>C6-D21</f>
        <v/>
      </c>
      <c r="E22" s="24">
        <f>C6-E21</f>
        <v/>
      </c>
      <c r="F22" s="1" t="n"/>
      <c r="G22" s="32" t="inlineStr">
        <is>
          <t>Price − fees (before income/SE tax)</t>
        </is>
      </c>
      <c r="H22" s="1" t="n"/>
      <c r="I22" s="1" t="n"/>
    </row>
    <row r="23">
      <c r="A23" s="1" t="n"/>
      <c r="B23" s="33" t="inlineStr">
        <is>
          <t>Fees as % of price</t>
        </is>
      </c>
      <c r="C23" s="19">
        <f>IF($C$6&gt;0,C21/$C$6,"")</f>
        <v/>
      </c>
      <c r="D23" s="19">
        <f>IF($C$6&gt;0,D21/$C$6,"")</f>
        <v/>
      </c>
      <c r="E23" s="19">
        <f>IF($C$6&gt;0,E21/$C$6,"")</f>
        <v/>
      </c>
      <c r="F23" s="1" t="n"/>
      <c r="G23" s="32" t="inlineStr">
        <is>
          <t>Flat fees hurt cheap products most</t>
        </is>
      </c>
      <c r="H23" s="1" t="n"/>
      <c r="I23" s="1" t="n"/>
    </row>
    <row r="24">
      <c r="A24" s="1" t="n"/>
      <c r="B24" s="33" t="inlineStr">
        <is>
          <t>You keep from N sales</t>
        </is>
      </c>
      <c r="C24" s="16">
        <f>C22*$C$7</f>
        <v/>
      </c>
      <c r="D24" s="16">
        <f>D22*$C$7</f>
        <v/>
      </c>
      <c r="E24" s="16">
        <f>E22*$C$7</f>
        <v/>
      </c>
      <c r="F24" s="1" t="n"/>
      <c r="G24" s="32" t="inlineStr">
        <is>
          <t>Per-sale keep × number of sales</t>
        </is>
      </c>
      <c r="H24" s="1" t="n"/>
      <c r="I24" s="1" t="n"/>
    </row>
    <row r="25">
      <c r="A25" s="1" t="n"/>
      <c r="B25" s="33" t="inlineStr">
        <is>
          <t>Self-employment tax on that (approx.)</t>
        </is>
      </c>
      <c r="C25" s="16">
        <f>MAX(0,C24)*'Hourly Pay Calculator'!$C$13*'Hourly Pay Calculator'!$C$12</f>
        <v/>
      </c>
      <c r="D25" s="16">
        <f>MAX(0,D24)*'Hourly Pay Calculator'!$C$13*'Hourly Pay Calculator'!$C$12</f>
        <v/>
      </c>
      <c r="E25" s="16">
        <f>MAX(0,E24)*'Hourly Pay Calculator'!$C$13*'Hourly Pay Calculator'!$C$12</f>
        <v/>
      </c>
      <c r="F25" s="1" t="n"/>
      <c r="G25" s="32" t="inlineStr">
        <is>
          <t>Uses calculator SE settings; ignores other business costs</t>
        </is>
      </c>
      <c r="H25" s="1" t="n"/>
      <c r="I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</row>
    <row r="27">
      <c r="A27" s="1" t="n"/>
      <c r="B27" s="35" t="inlineStr">
        <is>
          <t>PRICE LADDER  ·  what each price nets you (direct sales, no ads, no tax)</t>
        </is>
      </c>
      <c r="C27" s="1" t="n"/>
      <c r="D27" s="1" t="n"/>
      <c r="E27" s="1" t="n"/>
      <c r="F27" s="1" t="n"/>
      <c r="G27" s="1" t="n"/>
      <c r="H27" s="1" t="n"/>
      <c r="I27" s="1" t="n"/>
    </row>
    <row r="28">
      <c r="A28" s="1" t="n"/>
      <c r="B28" s="8" t="inlineStr">
        <is>
          <t>Price (edit)</t>
        </is>
      </c>
      <c r="C28" s="8" t="inlineStr">
        <is>
          <t>Etsy keeps you</t>
        </is>
      </c>
      <c r="D28" s="8" t="inlineStr">
        <is>
          <t>Gumroad keeps you</t>
        </is>
      </c>
      <c r="E28" s="8" t="inlineStr">
        <is>
          <t>Payhip keeps you</t>
        </is>
      </c>
      <c r="F28" s="1" t="n"/>
      <c r="G28" s="1" t="n"/>
      <c r="H28" s="1" t="n"/>
      <c r="I28" s="1" t="n"/>
    </row>
    <row r="29">
      <c r="A29" s="1" t="n"/>
      <c r="B29" s="10" t="n">
        <v>5</v>
      </c>
      <c r="C29" s="16">
        <f>B29-($C$13+$C$14*B29+$C$16*B29+$C$17)</f>
        <v/>
      </c>
      <c r="D29" s="16">
        <f>B29-($D$14*B29+$D$15+$D$16*B29+$D$17)</f>
        <v/>
      </c>
      <c r="E29" s="16">
        <f>B29-($E$13+$E$14*B29+$E$15+$E$16*B29+$E$17)</f>
        <v/>
      </c>
      <c r="F29" s="1" t="n"/>
      <c r="G29" s="1" t="n"/>
      <c r="H29" s="1" t="n"/>
      <c r="I29" s="1" t="n"/>
    </row>
    <row r="30">
      <c r="A30" s="1" t="n"/>
      <c r="B30" s="10" t="n">
        <v>9</v>
      </c>
      <c r="C30" s="16">
        <f>B30-($C$13+$C$14*B30+$C$16*B30+$C$17)</f>
        <v/>
      </c>
      <c r="D30" s="16">
        <f>B30-($D$14*B30+$D$15+$D$16*B30+$D$17)</f>
        <v/>
      </c>
      <c r="E30" s="16">
        <f>B30-($E$13+$E$14*B30+$E$15+$E$16*B30+$E$17)</f>
        <v/>
      </c>
      <c r="F30" s="1" t="n"/>
      <c r="G30" s="1" t="n"/>
      <c r="H30" s="1" t="n"/>
      <c r="I30" s="1" t="n"/>
    </row>
    <row r="31">
      <c r="A31" s="1" t="n"/>
      <c r="B31" s="10" t="n">
        <v>12</v>
      </c>
      <c r="C31" s="16">
        <f>B31-($C$13+$C$14*B31+$C$16*B31+$C$17)</f>
        <v/>
      </c>
      <c r="D31" s="16">
        <f>B31-($D$14*B31+$D$15+$D$16*B31+$D$17)</f>
        <v/>
      </c>
      <c r="E31" s="16">
        <f>B31-($E$13+$E$14*B31+$E$15+$E$16*B31+$E$17)</f>
        <v/>
      </c>
      <c r="F31" s="1" t="n"/>
      <c r="G31" s="1" t="n"/>
      <c r="H31" s="1" t="n"/>
      <c r="I31" s="1" t="n"/>
    </row>
    <row r="32">
      <c r="A32" s="1" t="n"/>
      <c r="B32" s="10" t="n">
        <v>19</v>
      </c>
      <c r="C32" s="16">
        <f>B32-($C$13+$C$14*B32+$C$16*B32+$C$17)</f>
        <v/>
      </c>
      <c r="D32" s="16">
        <f>B32-($D$14*B32+$D$15+$D$16*B32+$D$17)</f>
        <v/>
      </c>
      <c r="E32" s="16">
        <f>B32-($E$13+$E$14*B32+$E$15+$E$16*B32+$E$17)</f>
        <v/>
      </c>
      <c r="F32" s="1" t="n"/>
      <c r="G32" s="1" t="n"/>
      <c r="H32" s="1" t="n"/>
      <c r="I32" s="1" t="n"/>
    </row>
    <row r="33">
      <c r="A33" s="1" t="n"/>
      <c r="B33" s="10" t="n">
        <v>29</v>
      </c>
      <c r="C33" s="16">
        <f>B33-($C$13+$C$14*B33+$C$16*B33+$C$17)</f>
        <v/>
      </c>
      <c r="D33" s="16">
        <f>B33-($D$14*B33+$D$15+$D$16*B33+$D$17)</f>
        <v/>
      </c>
      <c r="E33" s="16">
        <f>B33-($E$13+$E$14*B33+$E$15+$E$16*B33+$E$17)</f>
        <v/>
      </c>
      <c r="F33" s="1" t="n"/>
      <c r="G33" s="1" t="n"/>
      <c r="H33" s="1" t="n"/>
      <c r="I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</row>
    <row r="35" ht="28" customHeight="1">
      <c r="A35" s="1" t="n"/>
      <c r="B35" s="20" t="inlineStr">
        <is>
          <t>Excludes: sales tax, currency conversion, Etsy Offsite Ads (unless set above), payout fees, Payhip paid plans, Gumroad high-volume discount. Fees verified Oct 2026 — check the source links before relying on them.</t>
        </is>
      </c>
      <c r="H35" s="1" t="n"/>
      <c r="I35" s="1" t="n"/>
    </row>
    <row r="36">
      <c r="A36" s="1" t="n"/>
      <c r="H36" s="1" t="n"/>
      <c r="I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</row>
  </sheetData>
  <mergeCells count="1">
    <mergeCell ref="B35:G36"/>
  </mergeCells>
  <dataValidations count="2">
    <dataValidation sqref="C10" showDropDown="0" showInputMessage="0" showErrorMessage="0" allowBlank="0" type="list">
      <formula1>"0,1"</formula1>
    </dataValidation>
    <dataValidation sqref="C9" showDropDown="0" showInputMessage="0" showErrorMessage="0" allowBlank="0" type="list">
      <formula1>"0,0.12,0.15"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24" customWidth="1" min="3" max="3"/>
    <col width="14" customWidth="1" min="4" max="4"/>
    <col width="11" customWidth="1" min="5" max="5"/>
    <col width="8" customWidth="1" min="6" max="6"/>
    <col width="24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1" customWidth="1" min="13" max="13"/>
    <col width="11" customWidth="1" min="14" max="14"/>
    <col width="26" customWidth="1" min="15" max="15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</row>
    <row r="2">
      <c r="A2" s="1" t="n"/>
      <c r="B2" s="6" t="inlineStr">
        <is>
          <t>MONTHLY TRACKER  ·  log every session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</row>
    <row r="3">
      <c r="A3" s="1" t="n"/>
      <c r="B3" s="7" t="inlineStr">
        <is>
          <t>One row per shift/gig/sale batch. Rows 21–23 are EXAMPLE data — delete them when you start. Car cost uses the calculator's $/mile.</t>
        </is>
      </c>
      <c r="P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</row>
    <row r="5">
      <c r="A5" s="1" t="n"/>
      <c r="B5" s="8" t="inlineStr">
        <is>
          <t>SUMMARY</t>
        </is>
      </c>
      <c r="C5" s="8" t="inlineStr">
        <is>
          <t>This sheet</t>
        </is>
      </c>
      <c r="D5" s="8" t="inlineStr"/>
      <c r="E5" s="8" t="inlineStr"/>
      <c r="F5" s="1" t="n"/>
      <c r="G5" s="8" t="inlineStr">
        <is>
          <t>Per hustle (type names)</t>
        </is>
      </c>
      <c r="H5" s="8" t="inlineStr">
        <is>
          <t>Gross</t>
        </is>
      </c>
      <c r="I5" s="8" t="inlineStr">
        <is>
          <t>Hours</t>
        </is>
      </c>
      <c r="J5" s="8" t="inlineStr">
        <is>
          <t>Take-home</t>
        </is>
      </c>
      <c r="K5" s="8" t="inlineStr">
        <is>
          <t>True hourly</t>
        </is>
      </c>
      <c r="L5" s="1" t="n"/>
      <c r="M5" s="1" t="n"/>
      <c r="N5" s="1" t="n"/>
      <c r="O5" s="1" t="n"/>
      <c r="P5" s="1" t="n"/>
    </row>
    <row r="6">
      <c r="A6" s="1" t="n"/>
      <c r="B6" s="33" t="inlineStr">
        <is>
          <t>Gross</t>
        </is>
      </c>
      <c r="C6" s="16">
        <f>SUM(E21:E220)</f>
        <v/>
      </c>
      <c r="D6" s="1" t="n"/>
      <c r="E6" s="1" t="n"/>
      <c r="F6" s="1" t="n"/>
      <c r="G6" s="36" t="inlineStr">
        <is>
          <t>EXAMPLE: Food delivery</t>
        </is>
      </c>
      <c r="H6" s="16">
        <f>IF(G6="","",SUMIF($C$21:$C$220,G6,$E$21:$E$220))</f>
        <v/>
      </c>
      <c r="I6" s="37">
        <f>IF(G6="","",SUMIF($C$21:$C$220,G6,$F$21:$F$220))</f>
        <v/>
      </c>
      <c r="J6" s="16">
        <f>IF(G6="","",SUMIF($C$21:$C$220,G6,$M$21:$M$220))</f>
        <v/>
      </c>
      <c r="K6" s="24">
        <f>IF(OR(G6="",N(I6)=0),"",J6/I6)</f>
        <v/>
      </c>
      <c r="L6" s="1" t="n"/>
      <c r="M6" s="1" t="n"/>
      <c r="N6" s="1" t="n"/>
      <c r="O6" s="1" t="n"/>
      <c r="P6" s="1" t="n"/>
    </row>
    <row r="7">
      <c r="A7" s="1" t="n"/>
      <c r="B7" s="33" t="inlineStr">
        <is>
          <t>Hours</t>
        </is>
      </c>
      <c r="C7" s="37">
        <f>SUM(F21:F220)</f>
        <v/>
      </c>
      <c r="D7" s="1" t="n"/>
      <c r="E7" s="1" t="n"/>
      <c r="F7" s="1" t="n"/>
      <c r="G7" s="36" t="inlineStr">
        <is>
          <t>EXAMPLE: Tutoring</t>
        </is>
      </c>
      <c r="H7" s="16">
        <f>IF(G7="","",SUMIF($C$21:$C$220,G7,$E$21:$E$220))</f>
        <v/>
      </c>
      <c r="I7" s="37">
        <f>IF(G7="","",SUMIF($C$21:$C$220,G7,$F$21:$F$220))</f>
        <v/>
      </c>
      <c r="J7" s="16">
        <f>IF(G7="","",SUMIF($C$21:$C$220,G7,$M$21:$M$220))</f>
        <v/>
      </c>
      <c r="K7" s="24">
        <f>IF(OR(G7="",N(I7)=0),"",J7/I7)</f>
        <v/>
      </c>
      <c r="L7" s="1" t="n"/>
      <c r="M7" s="1" t="n"/>
      <c r="N7" s="1" t="n"/>
      <c r="O7" s="1" t="n"/>
      <c r="P7" s="1" t="n"/>
    </row>
    <row r="8">
      <c r="A8" s="1" t="n"/>
      <c r="B8" s="33" t="inlineStr">
        <is>
          <t>Net profit</t>
        </is>
      </c>
      <c r="C8" s="16">
        <f>SUM(K21:K220)</f>
        <v/>
      </c>
      <c r="D8" s="1" t="n"/>
      <c r="E8" s="1" t="n"/>
      <c r="F8" s="1" t="n"/>
      <c r="G8" s="27" t="n"/>
      <c r="H8" s="16">
        <f>IF(G8="","",SUMIF($C$21:$C$220,G8,$E$21:$E$220))</f>
        <v/>
      </c>
      <c r="I8" s="37">
        <f>IF(G8="","",SUMIF($C$21:$C$220,G8,$F$21:$F$220))</f>
        <v/>
      </c>
      <c r="J8" s="16">
        <f>IF(G8="","",SUMIF($C$21:$C$220,G8,$M$21:$M$220))</f>
        <v/>
      </c>
      <c r="K8" s="24">
        <f>IF(OR(G8="",N(I8)=0),"",J8/I8)</f>
        <v/>
      </c>
      <c r="L8" s="1" t="n"/>
      <c r="M8" s="1" t="n"/>
      <c r="N8" s="1" t="n"/>
      <c r="O8" s="1" t="n"/>
      <c r="P8" s="1" t="n"/>
    </row>
    <row r="9">
      <c r="A9" s="1" t="n"/>
      <c r="B9" s="33" t="inlineStr">
        <is>
          <t>SE tax (approx.)</t>
        </is>
      </c>
      <c r="C9" s="16">
        <f>SUM(L21:L220)</f>
        <v/>
      </c>
      <c r="D9" s="1" t="n"/>
      <c r="E9" s="1" t="n"/>
      <c r="F9" s="1" t="n"/>
      <c r="G9" s="27" t="n"/>
      <c r="H9" s="16">
        <f>IF(G9="","",SUMIF($C$21:$C$220,G9,$E$21:$E$220))</f>
        <v/>
      </c>
      <c r="I9" s="37">
        <f>IF(G9="","",SUMIF($C$21:$C$220,G9,$F$21:$F$220))</f>
        <v/>
      </c>
      <c r="J9" s="16">
        <f>IF(G9="","",SUMIF($C$21:$C$220,G9,$M$21:$M$220))</f>
        <v/>
      </c>
      <c r="K9" s="24">
        <f>IF(OR(G9="",N(I9)=0),"",J9/I9)</f>
        <v/>
      </c>
      <c r="L9" s="1" t="n"/>
      <c r="M9" s="1" t="n"/>
      <c r="N9" s="1" t="n"/>
      <c r="O9" s="1" t="n"/>
      <c r="P9" s="1" t="n"/>
    </row>
    <row r="10">
      <c r="A10" s="1" t="n"/>
      <c r="B10" s="33" t="inlineStr">
        <is>
          <t>Take-home</t>
        </is>
      </c>
      <c r="C10" s="16">
        <f>SUM(M21:M220)</f>
        <v/>
      </c>
      <c r="D10" s="1" t="n"/>
      <c r="E10" s="1" t="n"/>
      <c r="F10" s="1" t="n"/>
      <c r="G10" s="27" t="n"/>
      <c r="H10" s="16">
        <f>IF(G10="","",SUMIF($C$21:$C$220,G10,$E$21:$E$220))</f>
        <v/>
      </c>
      <c r="I10" s="37">
        <f>IF(G10="","",SUMIF($C$21:$C$220,G10,$F$21:$F$220))</f>
        <v/>
      </c>
      <c r="J10" s="16">
        <f>IF(G10="","",SUMIF($C$21:$C$220,G10,$M$21:$M$220))</f>
        <v/>
      </c>
      <c r="K10" s="24">
        <f>IF(OR(G10="",N(I10)=0),"",J10/I10)</f>
        <v/>
      </c>
      <c r="L10" s="1" t="n"/>
      <c r="M10" s="1" t="n"/>
      <c r="N10" s="1" t="n"/>
      <c r="O10" s="1" t="n"/>
      <c r="P10" s="1" t="n"/>
    </row>
    <row r="11">
      <c r="A11" s="1" t="n"/>
      <c r="B11" s="34" t="inlineStr">
        <is>
          <t>TRUE HOURLY (all hustles)</t>
        </is>
      </c>
      <c r="C11" s="24">
        <f>IF(C7&gt;0,C10/C7,"")</f>
        <v/>
      </c>
      <c r="D11" s="1" t="n"/>
      <c r="E11" s="1" t="n"/>
      <c r="F11" s="1" t="n"/>
      <c r="G11" s="27" t="n"/>
      <c r="H11" s="16">
        <f>IF(G11="","",SUMIF($C$21:$C$220,G11,$E$21:$E$220))</f>
        <v/>
      </c>
      <c r="I11" s="37">
        <f>IF(G11="","",SUMIF($C$21:$C$220,G11,$F$21:$F$220))</f>
        <v/>
      </c>
      <c r="J11" s="16">
        <f>IF(G11="","",SUMIF($C$21:$C$220,G11,$M$21:$M$220))</f>
        <v/>
      </c>
      <c r="K11" s="24">
        <f>IF(OR(G11="",N(I11)=0),"",J11/I11)</f>
        <v/>
      </c>
      <c r="L11" s="1" t="n"/>
      <c r="M11" s="1" t="n"/>
      <c r="N11" s="1" t="n"/>
      <c r="O11" s="1" t="n"/>
      <c r="P11" s="1" t="n"/>
    </row>
    <row r="12">
      <c r="A12" s="1" t="n"/>
      <c r="B12" s="9" t="inlineStr">
        <is>
          <t>Tax set-aside %</t>
        </is>
      </c>
      <c r="C12" s="15" t="n">
        <v>0.25</v>
      </c>
      <c r="D12" s="21" t="inlineStr">
        <is>
          <t>Rule-of-thumb input, not a calculation — set your own with a tax pro.</t>
        </is>
      </c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</row>
    <row r="13">
      <c r="A13" s="1" t="n"/>
      <c r="B13" s="9" t="inlineStr">
        <is>
          <t>Suggested set-aside $</t>
        </is>
      </c>
      <c r="C13" s="24">
        <f>MAX(0,C8)*C12</f>
        <v/>
      </c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</row>
    <row r="15">
      <c r="A15" s="1" t="n"/>
      <c r="B15" s="20" t="inlineStr">
        <is>
          <t>Tip: lumpy months? Budget from your LOWEST recent month, not your best one — that's exactly what the FlexIncomePlanners irregular-income planners are built for.</t>
        </is>
      </c>
      <c r="P15" s="1" t="n"/>
    </row>
    <row r="16">
      <c r="A16" s="1" t="n"/>
      <c r="P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</row>
    <row r="20" ht="30" customHeight="1">
      <c r="A20" s="1" t="n"/>
      <c r="B20" s="8" t="inlineStr">
        <is>
          <t>Date</t>
        </is>
      </c>
      <c r="C20" s="8" t="inlineStr">
        <is>
          <t>Hustle</t>
        </is>
      </c>
      <c r="D20" s="8" t="inlineStr">
        <is>
          <t>Platform</t>
        </is>
      </c>
      <c r="E20" s="8" t="inlineStr">
        <is>
          <t>Gross</t>
        </is>
      </c>
      <c r="F20" s="8" t="inlineStr">
        <is>
          <t>Hours</t>
        </is>
      </c>
      <c r="G20" s="8" t="inlineStr">
        <is>
          <t>Miles</t>
        </is>
      </c>
      <c r="H20" s="8" t="inlineStr">
        <is>
          <t>Fees</t>
        </is>
      </c>
      <c r="I20" s="8" t="inlineStr">
        <is>
          <t>Other exp.</t>
        </is>
      </c>
      <c r="J20" s="8" t="inlineStr">
        <is>
          <t>Car cost</t>
        </is>
      </c>
      <c r="K20" s="8" t="inlineStr">
        <is>
          <t>Net</t>
        </is>
      </c>
      <c r="L20" s="8" t="inlineStr">
        <is>
          <t>SE tax</t>
        </is>
      </c>
      <c r="M20" s="8" t="inlineStr">
        <is>
          <t>Take-home</t>
        </is>
      </c>
      <c r="N20" s="8" t="inlineStr">
        <is>
          <t>True hourly</t>
        </is>
      </c>
      <c r="O20" s="8" t="inlineStr">
        <is>
          <t>Notes</t>
        </is>
      </c>
      <c r="P20" s="1" t="n"/>
    </row>
    <row r="21">
      <c r="A21" s="1" t="n"/>
      <c r="B21" s="38" t="n">
        <v>46298</v>
      </c>
      <c r="C21" s="39" t="inlineStr">
        <is>
          <t>EXAMPLE: Food delivery</t>
        </is>
      </c>
      <c r="D21" s="40" t="inlineStr">
        <is>
          <t>Delivery app</t>
        </is>
      </c>
      <c r="E21" s="41" t="n">
        <v>58.6</v>
      </c>
      <c r="F21" s="42" t="n">
        <v>4</v>
      </c>
      <c r="G21" s="43" t="n">
        <v>52</v>
      </c>
      <c r="H21" s="41" t="n">
        <v>0</v>
      </c>
      <c r="I21" s="41" t="n">
        <v>0</v>
      </c>
      <c r="J21" s="44">
        <f>IF(E21="","",N(G21)*'Hourly Pay Calculator'!$C$9)</f>
        <v/>
      </c>
      <c r="K21" s="44">
        <f>IF(E21="","",E21-N(H21)-N(I21)-J21)</f>
        <v/>
      </c>
      <c r="L21" s="44">
        <f>IF(E21="","",MAX(0,K21)*'Hourly Pay Calculator'!$C$13*'Hourly Pay Calculator'!$C$12)</f>
        <v/>
      </c>
      <c r="M21" s="44">
        <f>IF(E21="","",K21-L21)</f>
        <v/>
      </c>
      <c r="N21" s="45">
        <f>IF(OR(E21="",N(F21)=0),"",M21/F21)</f>
        <v/>
      </c>
      <c r="O21" s="39" t="inlineStr">
        <is>
          <t>EXAMPLE row</t>
        </is>
      </c>
      <c r="P21" s="1" t="n"/>
    </row>
    <row r="22">
      <c r="A22" s="1" t="n"/>
      <c r="B22" s="38" t="n">
        <v>46300</v>
      </c>
      <c r="C22" s="39" t="inlineStr">
        <is>
          <t>EXAMPLE: Tutoring</t>
        </is>
      </c>
      <c r="D22" s="40" t="inlineStr">
        <is>
          <t>Tutoring platform</t>
        </is>
      </c>
      <c r="E22" s="41" t="n">
        <v>80</v>
      </c>
      <c r="F22" s="42" t="n">
        <v>2.5</v>
      </c>
      <c r="G22" s="43" t="n">
        <v>0</v>
      </c>
      <c r="H22" s="41" t="n">
        <v>20</v>
      </c>
      <c r="I22" s="41" t="n">
        <v>0</v>
      </c>
      <c r="J22" s="44">
        <f>IF(E22="","",N(G22)*'Hourly Pay Calculator'!$C$9)</f>
        <v/>
      </c>
      <c r="K22" s="44">
        <f>IF(E22="","",E22-N(H22)-N(I22)-J22)</f>
        <v/>
      </c>
      <c r="L22" s="44">
        <f>IF(E22="","",MAX(0,K22)*'Hourly Pay Calculator'!$C$13*'Hourly Pay Calculator'!$C$12)</f>
        <v/>
      </c>
      <c r="M22" s="44">
        <f>IF(E22="","",K22-L22)</f>
        <v/>
      </c>
      <c r="N22" s="45">
        <f>IF(OR(E22="",N(F22)=0),"",M22/F22)</f>
        <v/>
      </c>
      <c r="O22" s="39" t="inlineStr">
        <is>
          <t>EXAMPLE row (25% platform fee)</t>
        </is>
      </c>
      <c r="P22" s="1" t="n"/>
    </row>
    <row r="23">
      <c r="A23" s="1" t="n"/>
      <c r="B23" s="38" t="n">
        <v>46305</v>
      </c>
      <c r="C23" s="39" t="inlineStr">
        <is>
          <t>EXAMPLE: Food delivery</t>
        </is>
      </c>
      <c r="D23" s="40" t="inlineStr">
        <is>
          <t>Delivery app</t>
        </is>
      </c>
      <c r="E23" s="41" t="n">
        <v>44</v>
      </c>
      <c r="F23" s="42" t="n">
        <v>3</v>
      </c>
      <c r="G23" s="43" t="n">
        <v>39</v>
      </c>
      <c r="H23" s="41" t="n">
        <v>0</v>
      </c>
      <c r="I23" s="41" t="n">
        <v>4</v>
      </c>
      <c r="J23" s="44">
        <f>IF(E23="","",N(G23)*'Hourly Pay Calculator'!$C$9)</f>
        <v/>
      </c>
      <c r="K23" s="44">
        <f>IF(E23="","",E23-N(H23)-N(I23)-J23)</f>
        <v/>
      </c>
      <c r="L23" s="44">
        <f>IF(E23="","",MAX(0,K23)*'Hourly Pay Calculator'!$C$13*'Hourly Pay Calculator'!$C$12)</f>
        <v/>
      </c>
      <c r="M23" s="44">
        <f>IF(E23="","",K23-L23)</f>
        <v/>
      </c>
      <c r="N23" s="45">
        <f>IF(OR(E23="",N(F23)=0),"",M23/F23)</f>
        <v/>
      </c>
      <c r="O23" s="39" t="inlineStr">
        <is>
          <t>EXAMPLE row (parking $4)</t>
        </is>
      </c>
      <c r="P23" s="1" t="n"/>
    </row>
    <row r="24">
      <c r="A24" s="1" t="n"/>
      <c r="B24" s="38" t="n"/>
      <c r="C24" s="40" t="n"/>
      <c r="D24" s="40" t="n"/>
      <c r="E24" s="41" t="n"/>
      <c r="F24" s="42" t="n"/>
      <c r="G24" s="43" t="n"/>
      <c r="H24" s="41" t="n"/>
      <c r="I24" s="41" t="n"/>
      <c r="J24" s="44">
        <f>IF(E24="","",N(G24)*'Hourly Pay Calculator'!$C$9)</f>
        <v/>
      </c>
      <c r="K24" s="44">
        <f>IF(E24="","",E24-N(H24)-N(I24)-J24)</f>
        <v/>
      </c>
      <c r="L24" s="44">
        <f>IF(E24="","",MAX(0,K24)*'Hourly Pay Calculator'!$C$13*'Hourly Pay Calculator'!$C$12)</f>
        <v/>
      </c>
      <c r="M24" s="44">
        <f>IF(E24="","",K24-L24)</f>
        <v/>
      </c>
      <c r="N24" s="45">
        <f>IF(OR(E24="",N(F24)=0),"",M24/F24)</f>
        <v/>
      </c>
      <c r="O24" s="40" t="n"/>
      <c r="P24" s="1" t="n"/>
    </row>
    <row r="25">
      <c r="A25" s="1" t="n"/>
      <c r="B25" s="38" t="n"/>
      <c r="C25" s="40" t="n"/>
      <c r="D25" s="40" t="n"/>
      <c r="E25" s="41" t="n"/>
      <c r="F25" s="42" t="n"/>
      <c r="G25" s="43" t="n"/>
      <c r="H25" s="41" t="n"/>
      <c r="I25" s="41" t="n"/>
      <c r="J25" s="44">
        <f>IF(E25="","",N(G25)*'Hourly Pay Calculator'!$C$9)</f>
        <v/>
      </c>
      <c r="K25" s="44">
        <f>IF(E25="","",E25-N(H25)-N(I25)-J25)</f>
        <v/>
      </c>
      <c r="L25" s="44">
        <f>IF(E25="","",MAX(0,K25)*'Hourly Pay Calculator'!$C$13*'Hourly Pay Calculator'!$C$12)</f>
        <v/>
      </c>
      <c r="M25" s="44">
        <f>IF(E25="","",K25-L25)</f>
        <v/>
      </c>
      <c r="N25" s="45">
        <f>IF(OR(E25="",N(F25)=0),"",M25/F25)</f>
        <v/>
      </c>
      <c r="O25" s="40" t="n"/>
      <c r="P25" s="1" t="n"/>
    </row>
    <row r="26">
      <c r="A26" s="1" t="n"/>
      <c r="B26" s="38" t="n"/>
      <c r="C26" s="40" t="n"/>
      <c r="D26" s="40" t="n"/>
      <c r="E26" s="41" t="n"/>
      <c r="F26" s="42" t="n"/>
      <c r="G26" s="43" t="n"/>
      <c r="H26" s="41" t="n"/>
      <c r="I26" s="41" t="n"/>
      <c r="J26" s="44">
        <f>IF(E26="","",N(G26)*'Hourly Pay Calculator'!$C$9)</f>
        <v/>
      </c>
      <c r="K26" s="44">
        <f>IF(E26="","",E26-N(H26)-N(I26)-J26)</f>
        <v/>
      </c>
      <c r="L26" s="44">
        <f>IF(E26="","",MAX(0,K26)*'Hourly Pay Calculator'!$C$13*'Hourly Pay Calculator'!$C$12)</f>
        <v/>
      </c>
      <c r="M26" s="44">
        <f>IF(E26="","",K26-L26)</f>
        <v/>
      </c>
      <c r="N26" s="45">
        <f>IF(OR(E26="",N(F26)=0),"",M26/F26)</f>
        <v/>
      </c>
      <c r="O26" s="40" t="n"/>
      <c r="P26" s="1" t="n"/>
    </row>
    <row r="27">
      <c r="A27" s="1" t="n"/>
      <c r="B27" s="38" t="n"/>
      <c r="C27" s="40" t="n"/>
      <c r="D27" s="40" t="n"/>
      <c r="E27" s="41" t="n"/>
      <c r="F27" s="42" t="n"/>
      <c r="G27" s="43" t="n"/>
      <c r="H27" s="41" t="n"/>
      <c r="I27" s="41" t="n"/>
      <c r="J27" s="44">
        <f>IF(E27="","",N(G27)*'Hourly Pay Calculator'!$C$9)</f>
        <v/>
      </c>
      <c r="K27" s="44">
        <f>IF(E27="","",E27-N(H27)-N(I27)-J27)</f>
        <v/>
      </c>
      <c r="L27" s="44">
        <f>IF(E27="","",MAX(0,K27)*'Hourly Pay Calculator'!$C$13*'Hourly Pay Calculator'!$C$12)</f>
        <v/>
      </c>
      <c r="M27" s="44">
        <f>IF(E27="","",K27-L27)</f>
        <v/>
      </c>
      <c r="N27" s="45">
        <f>IF(OR(E27="",N(F27)=0),"",M27/F27)</f>
        <v/>
      </c>
      <c r="O27" s="40" t="n"/>
      <c r="P27" s="1" t="n"/>
    </row>
    <row r="28">
      <c r="A28" s="1" t="n"/>
      <c r="B28" s="38" t="n"/>
      <c r="C28" s="40" t="n"/>
      <c r="D28" s="40" t="n"/>
      <c r="E28" s="41" t="n"/>
      <c r="F28" s="42" t="n"/>
      <c r="G28" s="43" t="n"/>
      <c r="H28" s="41" t="n"/>
      <c r="I28" s="41" t="n"/>
      <c r="J28" s="44">
        <f>IF(E28="","",N(G28)*'Hourly Pay Calculator'!$C$9)</f>
        <v/>
      </c>
      <c r="K28" s="44">
        <f>IF(E28="","",E28-N(H28)-N(I28)-J28)</f>
        <v/>
      </c>
      <c r="L28" s="44">
        <f>IF(E28="","",MAX(0,K28)*'Hourly Pay Calculator'!$C$13*'Hourly Pay Calculator'!$C$12)</f>
        <v/>
      </c>
      <c r="M28" s="44">
        <f>IF(E28="","",K28-L28)</f>
        <v/>
      </c>
      <c r="N28" s="45">
        <f>IF(OR(E28="",N(F28)=0),"",M28/F28)</f>
        <v/>
      </c>
      <c r="O28" s="40" t="n"/>
      <c r="P28" s="1" t="n"/>
    </row>
    <row r="29">
      <c r="A29" s="1" t="n"/>
      <c r="B29" s="38" t="n"/>
      <c r="C29" s="40" t="n"/>
      <c r="D29" s="40" t="n"/>
      <c r="E29" s="41" t="n"/>
      <c r="F29" s="42" t="n"/>
      <c r="G29" s="43" t="n"/>
      <c r="H29" s="41" t="n"/>
      <c r="I29" s="41" t="n"/>
      <c r="J29" s="44">
        <f>IF(E29="","",N(G29)*'Hourly Pay Calculator'!$C$9)</f>
        <v/>
      </c>
      <c r="K29" s="44">
        <f>IF(E29="","",E29-N(H29)-N(I29)-J29)</f>
        <v/>
      </c>
      <c r="L29" s="44">
        <f>IF(E29="","",MAX(0,K29)*'Hourly Pay Calculator'!$C$13*'Hourly Pay Calculator'!$C$12)</f>
        <v/>
      </c>
      <c r="M29" s="44">
        <f>IF(E29="","",K29-L29)</f>
        <v/>
      </c>
      <c r="N29" s="45">
        <f>IF(OR(E29="",N(F29)=0),"",M29/F29)</f>
        <v/>
      </c>
      <c r="O29" s="40" t="n"/>
      <c r="P29" s="1" t="n"/>
    </row>
    <row r="30">
      <c r="A30" s="1" t="n"/>
      <c r="B30" s="38" t="n"/>
      <c r="C30" s="40" t="n"/>
      <c r="D30" s="40" t="n"/>
      <c r="E30" s="41" t="n"/>
      <c r="F30" s="42" t="n"/>
      <c r="G30" s="43" t="n"/>
      <c r="H30" s="41" t="n"/>
      <c r="I30" s="41" t="n"/>
      <c r="J30" s="44">
        <f>IF(E30="","",N(G30)*'Hourly Pay Calculator'!$C$9)</f>
        <v/>
      </c>
      <c r="K30" s="44">
        <f>IF(E30="","",E30-N(H30)-N(I30)-J30)</f>
        <v/>
      </c>
      <c r="L30" s="44">
        <f>IF(E30="","",MAX(0,K30)*'Hourly Pay Calculator'!$C$13*'Hourly Pay Calculator'!$C$12)</f>
        <v/>
      </c>
      <c r="M30" s="44">
        <f>IF(E30="","",K30-L30)</f>
        <v/>
      </c>
      <c r="N30" s="45">
        <f>IF(OR(E30="",N(F30)=0),"",M30/F30)</f>
        <v/>
      </c>
      <c r="O30" s="40" t="n"/>
      <c r="P30" s="1" t="n"/>
    </row>
    <row r="31">
      <c r="A31" s="1" t="n"/>
      <c r="B31" s="38" t="n"/>
      <c r="C31" s="40" t="n"/>
      <c r="D31" s="40" t="n"/>
      <c r="E31" s="41" t="n"/>
      <c r="F31" s="42" t="n"/>
      <c r="G31" s="43" t="n"/>
      <c r="H31" s="41" t="n"/>
      <c r="I31" s="41" t="n"/>
      <c r="J31" s="44">
        <f>IF(E31="","",N(G31)*'Hourly Pay Calculator'!$C$9)</f>
        <v/>
      </c>
      <c r="K31" s="44">
        <f>IF(E31="","",E31-N(H31)-N(I31)-J31)</f>
        <v/>
      </c>
      <c r="L31" s="44">
        <f>IF(E31="","",MAX(0,K31)*'Hourly Pay Calculator'!$C$13*'Hourly Pay Calculator'!$C$12)</f>
        <v/>
      </c>
      <c r="M31" s="44">
        <f>IF(E31="","",K31-L31)</f>
        <v/>
      </c>
      <c r="N31" s="45">
        <f>IF(OR(E31="",N(F31)=0),"",M31/F31)</f>
        <v/>
      </c>
      <c r="O31" s="40" t="n"/>
      <c r="P31" s="1" t="n"/>
    </row>
    <row r="32">
      <c r="A32" s="1" t="n"/>
      <c r="B32" s="38" t="n"/>
      <c r="C32" s="40" t="n"/>
      <c r="D32" s="40" t="n"/>
      <c r="E32" s="41" t="n"/>
      <c r="F32" s="42" t="n"/>
      <c r="G32" s="43" t="n"/>
      <c r="H32" s="41" t="n"/>
      <c r="I32" s="41" t="n"/>
      <c r="J32" s="44">
        <f>IF(E32="","",N(G32)*'Hourly Pay Calculator'!$C$9)</f>
        <v/>
      </c>
      <c r="K32" s="44">
        <f>IF(E32="","",E32-N(H32)-N(I32)-J32)</f>
        <v/>
      </c>
      <c r="L32" s="44">
        <f>IF(E32="","",MAX(0,K32)*'Hourly Pay Calculator'!$C$13*'Hourly Pay Calculator'!$C$12)</f>
        <v/>
      </c>
      <c r="M32" s="44">
        <f>IF(E32="","",K32-L32)</f>
        <v/>
      </c>
      <c r="N32" s="45">
        <f>IF(OR(E32="",N(F32)=0),"",M32/F32)</f>
        <v/>
      </c>
      <c r="O32" s="40" t="n"/>
      <c r="P32" s="1" t="n"/>
    </row>
    <row r="33">
      <c r="A33" s="1" t="n"/>
      <c r="B33" s="38" t="n"/>
      <c r="C33" s="40" t="n"/>
      <c r="D33" s="40" t="n"/>
      <c r="E33" s="41" t="n"/>
      <c r="F33" s="42" t="n"/>
      <c r="G33" s="43" t="n"/>
      <c r="H33" s="41" t="n"/>
      <c r="I33" s="41" t="n"/>
      <c r="J33" s="44">
        <f>IF(E33="","",N(G33)*'Hourly Pay Calculator'!$C$9)</f>
        <v/>
      </c>
      <c r="K33" s="44">
        <f>IF(E33="","",E33-N(H33)-N(I33)-J33)</f>
        <v/>
      </c>
      <c r="L33" s="44">
        <f>IF(E33="","",MAX(0,K33)*'Hourly Pay Calculator'!$C$13*'Hourly Pay Calculator'!$C$12)</f>
        <v/>
      </c>
      <c r="M33" s="44">
        <f>IF(E33="","",K33-L33)</f>
        <v/>
      </c>
      <c r="N33" s="45">
        <f>IF(OR(E33="",N(F33)=0),"",M33/F33)</f>
        <v/>
      </c>
      <c r="O33" s="40" t="n"/>
      <c r="P33" s="1" t="n"/>
    </row>
    <row r="34">
      <c r="A34" s="1" t="n"/>
      <c r="B34" s="38" t="n"/>
      <c r="C34" s="40" t="n"/>
      <c r="D34" s="40" t="n"/>
      <c r="E34" s="41" t="n"/>
      <c r="F34" s="42" t="n"/>
      <c r="G34" s="43" t="n"/>
      <c r="H34" s="41" t="n"/>
      <c r="I34" s="41" t="n"/>
      <c r="J34" s="44">
        <f>IF(E34="","",N(G34)*'Hourly Pay Calculator'!$C$9)</f>
        <v/>
      </c>
      <c r="K34" s="44">
        <f>IF(E34="","",E34-N(H34)-N(I34)-J34)</f>
        <v/>
      </c>
      <c r="L34" s="44">
        <f>IF(E34="","",MAX(0,K34)*'Hourly Pay Calculator'!$C$13*'Hourly Pay Calculator'!$C$12)</f>
        <v/>
      </c>
      <c r="M34" s="44">
        <f>IF(E34="","",K34-L34)</f>
        <v/>
      </c>
      <c r="N34" s="45">
        <f>IF(OR(E34="",N(F34)=0),"",M34/F34)</f>
        <v/>
      </c>
      <c r="O34" s="40" t="n"/>
      <c r="P34" s="1" t="n"/>
    </row>
    <row r="35">
      <c r="A35" s="1" t="n"/>
      <c r="B35" s="38" t="n"/>
      <c r="C35" s="40" t="n"/>
      <c r="D35" s="40" t="n"/>
      <c r="E35" s="41" t="n"/>
      <c r="F35" s="42" t="n"/>
      <c r="G35" s="43" t="n"/>
      <c r="H35" s="41" t="n"/>
      <c r="I35" s="41" t="n"/>
      <c r="J35" s="44">
        <f>IF(E35="","",N(G35)*'Hourly Pay Calculator'!$C$9)</f>
        <v/>
      </c>
      <c r="K35" s="44">
        <f>IF(E35="","",E35-N(H35)-N(I35)-J35)</f>
        <v/>
      </c>
      <c r="L35" s="44">
        <f>IF(E35="","",MAX(0,K35)*'Hourly Pay Calculator'!$C$13*'Hourly Pay Calculator'!$C$12)</f>
        <v/>
      </c>
      <c r="M35" s="44">
        <f>IF(E35="","",K35-L35)</f>
        <v/>
      </c>
      <c r="N35" s="45">
        <f>IF(OR(E35="",N(F35)=0),"",M35/F35)</f>
        <v/>
      </c>
      <c r="O35" s="40" t="n"/>
      <c r="P35" s="1" t="n"/>
    </row>
    <row r="36">
      <c r="A36" s="1" t="n"/>
      <c r="B36" s="38" t="n"/>
      <c r="C36" s="40" t="n"/>
      <c r="D36" s="40" t="n"/>
      <c r="E36" s="41" t="n"/>
      <c r="F36" s="42" t="n"/>
      <c r="G36" s="43" t="n"/>
      <c r="H36" s="41" t="n"/>
      <c r="I36" s="41" t="n"/>
      <c r="J36" s="44">
        <f>IF(E36="","",N(G36)*'Hourly Pay Calculator'!$C$9)</f>
        <v/>
      </c>
      <c r="K36" s="44">
        <f>IF(E36="","",E36-N(H36)-N(I36)-J36)</f>
        <v/>
      </c>
      <c r="L36" s="44">
        <f>IF(E36="","",MAX(0,K36)*'Hourly Pay Calculator'!$C$13*'Hourly Pay Calculator'!$C$12)</f>
        <v/>
      </c>
      <c r="M36" s="44">
        <f>IF(E36="","",K36-L36)</f>
        <v/>
      </c>
      <c r="N36" s="45">
        <f>IF(OR(E36="",N(F36)=0),"",M36/F36)</f>
        <v/>
      </c>
      <c r="O36" s="40" t="n"/>
      <c r="P36" s="1" t="n"/>
    </row>
    <row r="37">
      <c r="A37" s="1" t="n"/>
      <c r="B37" s="38" t="n"/>
      <c r="C37" s="40" t="n"/>
      <c r="D37" s="40" t="n"/>
      <c r="E37" s="41" t="n"/>
      <c r="F37" s="42" t="n"/>
      <c r="G37" s="43" t="n"/>
      <c r="H37" s="41" t="n"/>
      <c r="I37" s="41" t="n"/>
      <c r="J37" s="44">
        <f>IF(E37="","",N(G37)*'Hourly Pay Calculator'!$C$9)</f>
        <v/>
      </c>
      <c r="K37" s="44">
        <f>IF(E37="","",E37-N(H37)-N(I37)-J37)</f>
        <v/>
      </c>
      <c r="L37" s="44">
        <f>IF(E37="","",MAX(0,K37)*'Hourly Pay Calculator'!$C$13*'Hourly Pay Calculator'!$C$12)</f>
        <v/>
      </c>
      <c r="M37" s="44">
        <f>IF(E37="","",K37-L37)</f>
        <v/>
      </c>
      <c r="N37" s="45">
        <f>IF(OR(E37="",N(F37)=0),"",M37/F37)</f>
        <v/>
      </c>
      <c r="O37" s="40" t="n"/>
      <c r="P37" s="1" t="n"/>
    </row>
    <row r="38">
      <c r="A38" s="1" t="n"/>
      <c r="B38" s="38" t="n"/>
      <c r="C38" s="40" t="n"/>
      <c r="D38" s="40" t="n"/>
      <c r="E38" s="41" t="n"/>
      <c r="F38" s="42" t="n"/>
      <c r="G38" s="43" t="n"/>
      <c r="H38" s="41" t="n"/>
      <c r="I38" s="41" t="n"/>
      <c r="J38" s="44">
        <f>IF(E38="","",N(G38)*'Hourly Pay Calculator'!$C$9)</f>
        <v/>
      </c>
      <c r="K38" s="44">
        <f>IF(E38="","",E38-N(H38)-N(I38)-J38)</f>
        <v/>
      </c>
      <c r="L38" s="44">
        <f>IF(E38="","",MAX(0,K38)*'Hourly Pay Calculator'!$C$13*'Hourly Pay Calculator'!$C$12)</f>
        <v/>
      </c>
      <c r="M38" s="44">
        <f>IF(E38="","",K38-L38)</f>
        <v/>
      </c>
      <c r="N38" s="45">
        <f>IF(OR(E38="",N(F38)=0),"",M38/F38)</f>
        <v/>
      </c>
      <c r="O38" s="40" t="n"/>
      <c r="P38" s="1" t="n"/>
    </row>
    <row r="39">
      <c r="A39" s="1" t="n"/>
      <c r="B39" s="38" t="n"/>
      <c r="C39" s="40" t="n"/>
      <c r="D39" s="40" t="n"/>
      <c r="E39" s="41" t="n"/>
      <c r="F39" s="42" t="n"/>
      <c r="G39" s="43" t="n"/>
      <c r="H39" s="41" t="n"/>
      <c r="I39" s="41" t="n"/>
      <c r="J39" s="44">
        <f>IF(E39="","",N(G39)*'Hourly Pay Calculator'!$C$9)</f>
        <v/>
      </c>
      <c r="K39" s="44">
        <f>IF(E39="","",E39-N(H39)-N(I39)-J39)</f>
        <v/>
      </c>
      <c r="L39" s="44">
        <f>IF(E39="","",MAX(0,K39)*'Hourly Pay Calculator'!$C$13*'Hourly Pay Calculator'!$C$12)</f>
        <v/>
      </c>
      <c r="M39" s="44">
        <f>IF(E39="","",K39-L39)</f>
        <v/>
      </c>
      <c r="N39" s="45">
        <f>IF(OR(E39="",N(F39)=0),"",M39/F39)</f>
        <v/>
      </c>
      <c r="O39" s="40" t="n"/>
      <c r="P39" s="1" t="n"/>
    </row>
    <row r="40">
      <c r="A40" s="1" t="n"/>
      <c r="B40" s="38" t="n"/>
      <c r="C40" s="40" t="n"/>
      <c r="D40" s="40" t="n"/>
      <c r="E40" s="41" t="n"/>
      <c r="F40" s="42" t="n"/>
      <c r="G40" s="43" t="n"/>
      <c r="H40" s="41" t="n"/>
      <c r="I40" s="41" t="n"/>
      <c r="J40" s="44">
        <f>IF(E40="","",N(G40)*'Hourly Pay Calculator'!$C$9)</f>
        <v/>
      </c>
      <c r="K40" s="44">
        <f>IF(E40="","",E40-N(H40)-N(I40)-J40)</f>
        <v/>
      </c>
      <c r="L40" s="44">
        <f>IF(E40="","",MAX(0,K40)*'Hourly Pay Calculator'!$C$13*'Hourly Pay Calculator'!$C$12)</f>
        <v/>
      </c>
      <c r="M40" s="44">
        <f>IF(E40="","",K40-L40)</f>
        <v/>
      </c>
      <c r="N40" s="45">
        <f>IF(OR(E40="",N(F40)=0),"",M40/F40)</f>
        <v/>
      </c>
      <c r="O40" s="40" t="n"/>
      <c r="P40" s="1" t="n"/>
    </row>
    <row r="41">
      <c r="A41" s="1" t="n"/>
      <c r="B41" s="38" t="n"/>
      <c r="C41" s="40" t="n"/>
      <c r="D41" s="40" t="n"/>
      <c r="E41" s="41" t="n"/>
      <c r="F41" s="42" t="n"/>
      <c r="G41" s="43" t="n"/>
      <c r="H41" s="41" t="n"/>
      <c r="I41" s="41" t="n"/>
      <c r="J41" s="44">
        <f>IF(E41="","",N(G41)*'Hourly Pay Calculator'!$C$9)</f>
        <v/>
      </c>
      <c r="K41" s="44">
        <f>IF(E41="","",E41-N(H41)-N(I41)-J41)</f>
        <v/>
      </c>
      <c r="L41" s="44">
        <f>IF(E41="","",MAX(0,K41)*'Hourly Pay Calculator'!$C$13*'Hourly Pay Calculator'!$C$12)</f>
        <v/>
      </c>
      <c r="M41" s="44">
        <f>IF(E41="","",K41-L41)</f>
        <v/>
      </c>
      <c r="N41" s="45">
        <f>IF(OR(E41="",N(F41)=0),"",M41/F41)</f>
        <v/>
      </c>
      <c r="O41" s="40" t="n"/>
      <c r="P41" s="1" t="n"/>
    </row>
    <row r="42">
      <c r="A42" s="1" t="n"/>
      <c r="B42" s="38" t="n"/>
      <c r="C42" s="40" t="n"/>
      <c r="D42" s="40" t="n"/>
      <c r="E42" s="41" t="n"/>
      <c r="F42" s="42" t="n"/>
      <c r="G42" s="43" t="n"/>
      <c r="H42" s="41" t="n"/>
      <c r="I42" s="41" t="n"/>
      <c r="J42" s="44">
        <f>IF(E42="","",N(G42)*'Hourly Pay Calculator'!$C$9)</f>
        <v/>
      </c>
      <c r="K42" s="44">
        <f>IF(E42="","",E42-N(H42)-N(I42)-J42)</f>
        <v/>
      </c>
      <c r="L42" s="44">
        <f>IF(E42="","",MAX(0,K42)*'Hourly Pay Calculator'!$C$13*'Hourly Pay Calculator'!$C$12)</f>
        <v/>
      </c>
      <c r="M42" s="44">
        <f>IF(E42="","",K42-L42)</f>
        <v/>
      </c>
      <c r="N42" s="45">
        <f>IF(OR(E42="",N(F42)=0),"",M42/F42)</f>
        <v/>
      </c>
      <c r="O42" s="40" t="n"/>
      <c r="P42" s="1" t="n"/>
    </row>
    <row r="43">
      <c r="A43" s="1" t="n"/>
      <c r="B43" s="38" t="n"/>
      <c r="C43" s="40" t="n"/>
      <c r="D43" s="40" t="n"/>
      <c r="E43" s="41" t="n"/>
      <c r="F43" s="42" t="n"/>
      <c r="G43" s="43" t="n"/>
      <c r="H43" s="41" t="n"/>
      <c r="I43" s="41" t="n"/>
      <c r="J43" s="44">
        <f>IF(E43="","",N(G43)*'Hourly Pay Calculator'!$C$9)</f>
        <v/>
      </c>
      <c r="K43" s="44">
        <f>IF(E43="","",E43-N(H43)-N(I43)-J43)</f>
        <v/>
      </c>
      <c r="L43" s="44">
        <f>IF(E43="","",MAX(0,K43)*'Hourly Pay Calculator'!$C$13*'Hourly Pay Calculator'!$C$12)</f>
        <v/>
      </c>
      <c r="M43" s="44">
        <f>IF(E43="","",K43-L43)</f>
        <v/>
      </c>
      <c r="N43" s="45">
        <f>IF(OR(E43="",N(F43)=0),"",M43/F43)</f>
        <v/>
      </c>
      <c r="O43" s="40" t="n"/>
      <c r="P43" s="1" t="n"/>
    </row>
    <row r="44">
      <c r="A44" s="1" t="n"/>
      <c r="B44" s="38" t="n"/>
      <c r="C44" s="40" t="n"/>
      <c r="D44" s="40" t="n"/>
      <c r="E44" s="41" t="n"/>
      <c r="F44" s="42" t="n"/>
      <c r="G44" s="43" t="n"/>
      <c r="H44" s="41" t="n"/>
      <c r="I44" s="41" t="n"/>
      <c r="J44" s="44">
        <f>IF(E44="","",N(G44)*'Hourly Pay Calculator'!$C$9)</f>
        <v/>
      </c>
      <c r="K44" s="44">
        <f>IF(E44="","",E44-N(H44)-N(I44)-J44)</f>
        <v/>
      </c>
      <c r="L44" s="44">
        <f>IF(E44="","",MAX(0,K44)*'Hourly Pay Calculator'!$C$13*'Hourly Pay Calculator'!$C$12)</f>
        <v/>
      </c>
      <c r="M44" s="44">
        <f>IF(E44="","",K44-L44)</f>
        <v/>
      </c>
      <c r="N44" s="45">
        <f>IF(OR(E44="",N(F44)=0),"",M44/F44)</f>
        <v/>
      </c>
      <c r="O44" s="40" t="n"/>
      <c r="P44" s="1" t="n"/>
    </row>
    <row r="45">
      <c r="A45" s="1" t="n"/>
      <c r="B45" s="38" t="n"/>
      <c r="C45" s="40" t="n"/>
      <c r="D45" s="40" t="n"/>
      <c r="E45" s="41" t="n"/>
      <c r="F45" s="42" t="n"/>
      <c r="G45" s="43" t="n"/>
      <c r="H45" s="41" t="n"/>
      <c r="I45" s="41" t="n"/>
      <c r="J45" s="44">
        <f>IF(E45="","",N(G45)*'Hourly Pay Calculator'!$C$9)</f>
        <v/>
      </c>
      <c r="K45" s="44">
        <f>IF(E45="","",E45-N(H45)-N(I45)-J45)</f>
        <v/>
      </c>
      <c r="L45" s="44">
        <f>IF(E45="","",MAX(0,K45)*'Hourly Pay Calculator'!$C$13*'Hourly Pay Calculator'!$C$12)</f>
        <v/>
      </c>
      <c r="M45" s="44">
        <f>IF(E45="","",K45-L45)</f>
        <v/>
      </c>
      <c r="N45" s="45">
        <f>IF(OR(E45="",N(F45)=0),"",M45/F45)</f>
        <v/>
      </c>
      <c r="O45" s="40" t="n"/>
      <c r="P45" s="1" t="n"/>
    </row>
    <row r="46">
      <c r="A46" s="1" t="n"/>
      <c r="B46" s="38" t="n"/>
      <c r="C46" s="40" t="n"/>
      <c r="D46" s="40" t="n"/>
      <c r="E46" s="41" t="n"/>
      <c r="F46" s="42" t="n"/>
      <c r="G46" s="43" t="n"/>
      <c r="H46" s="41" t="n"/>
      <c r="I46" s="41" t="n"/>
      <c r="J46" s="44">
        <f>IF(E46="","",N(G46)*'Hourly Pay Calculator'!$C$9)</f>
        <v/>
      </c>
      <c r="K46" s="44">
        <f>IF(E46="","",E46-N(H46)-N(I46)-J46)</f>
        <v/>
      </c>
      <c r="L46" s="44">
        <f>IF(E46="","",MAX(0,K46)*'Hourly Pay Calculator'!$C$13*'Hourly Pay Calculator'!$C$12)</f>
        <v/>
      </c>
      <c r="M46" s="44">
        <f>IF(E46="","",K46-L46)</f>
        <v/>
      </c>
      <c r="N46" s="45">
        <f>IF(OR(E46="",N(F46)=0),"",M46/F46)</f>
        <v/>
      </c>
      <c r="O46" s="40" t="n"/>
      <c r="P46" s="1" t="n"/>
    </row>
    <row r="47">
      <c r="A47" s="1" t="n"/>
      <c r="B47" s="38" t="n"/>
      <c r="C47" s="40" t="n"/>
      <c r="D47" s="40" t="n"/>
      <c r="E47" s="41" t="n"/>
      <c r="F47" s="42" t="n"/>
      <c r="G47" s="43" t="n"/>
      <c r="H47" s="41" t="n"/>
      <c r="I47" s="41" t="n"/>
      <c r="J47" s="44">
        <f>IF(E47="","",N(G47)*'Hourly Pay Calculator'!$C$9)</f>
        <v/>
      </c>
      <c r="K47" s="44">
        <f>IF(E47="","",E47-N(H47)-N(I47)-J47)</f>
        <v/>
      </c>
      <c r="L47" s="44">
        <f>IF(E47="","",MAX(0,K47)*'Hourly Pay Calculator'!$C$13*'Hourly Pay Calculator'!$C$12)</f>
        <v/>
      </c>
      <c r="M47" s="44">
        <f>IF(E47="","",K47-L47)</f>
        <v/>
      </c>
      <c r="N47" s="45">
        <f>IF(OR(E47="",N(F47)=0),"",M47/F47)</f>
        <v/>
      </c>
      <c r="O47" s="40" t="n"/>
      <c r="P47" s="1" t="n"/>
    </row>
    <row r="48">
      <c r="A48" s="1" t="n"/>
      <c r="B48" s="38" t="n"/>
      <c r="C48" s="40" t="n"/>
      <c r="D48" s="40" t="n"/>
      <c r="E48" s="41" t="n"/>
      <c r="F48" s="42" t="n"/>
      <c r="G48" s="43" t="n"/>
      <c r="H48" s="41" t="n"/>
      <c r="I48" s="41" t="n"/>
      <c r="J48" s="44">
        <f>IF(E48="","",N(G48)*'Hourly Pay Calculator'!$C$9)</f>
        <v/>
      </c>
      <c r="K48" s="44">
        <f>IF(E48="","",E48-N(H48)-N(I48)-J48)</f>
        <v/>
      </c>
      <c r="L48" s="44">
        <f>IF(E48="","",MAX(0,K48)*'Hourly Pay Calculator'!$C$13*'Hourly Pay Calculator'!$C$12)</f>
        <v/>
      </c>
      <c r="M48" s="44">
        <f>IF(E48="","",K48-L48)</f>
        <v/>
      </c>
      <c r="N48" s="45">
        <f>IF(OR(E48="",N(F48)=0),"",M48/F48)</f>
        <v/>
      </c>
      <c r="O48" s="40" t="n"/>
      <c r="P48" s="1" t="n"/>
    </row>
    <row r="49">
      <c r="A49" s="1" t="n"/>
      <c r="B49" s="38" t="n"/>
      <c r="C49" s="40" t="n"/>
      <c r="D49" s="40" t="n"/>
      <c r="E49" s="41" t="n"/>
      <c r="F49" s="42" t="n"/>
      <c r="G49" s="43" t="n"/>
      <c r="H49" s="41" t="n"/>
      <c r="I49" s="41" t="n"/>
      <c r="J49" s="44">
        <f>IF(E49="","",N(G49)*'Hourly Pay Calculator'!$C$9)</f>
        <v/>
      </c>
      <c r="K49" s="44">
        <f>IF(E49="","",E49-N(H49)-N(I49)-J49)</f>
        <v/>
      </c>
      <c r="L49" s="44">
        <f>IF(E49="","",MAX(0,K49)*'Hourly Pay Calculator'!$C$13*'Hourly Pay Calculator'!$C$12)</f>
        <v/>
      </c>
      <c r="M49" s="44">
        <f>IF(E49="","",K49-L49)</f>
        <v/>
      </c>
      <c r="N49" s="45">
        <f>IF(OR(E49="",N(F49)=0),"",M49/F49)</f>
        <v/>
      </c>
      <c r="O49" s="40" t="n"/>
      <c r="P49" s="1" t="n"/>
    </row>
    <row r="50">
      <c r="A50" s="1" t="n"/>
      <c r="B50" s="38" t="n"/>
      <c r="C50" s="40" t="n"/>
      <c r="D50" s="40" t="n"/>
      <c r="E50" s="41" t="n"/>
      <c r="F50" s="42" t="n"/>
      <c r="G50" s="43" t="n"/>
      <c r="H50" s="41" t="n"/>
      <c r="I50" s="41" t="n"/>
      <c r="J50" s="44">
        <f>IF(E50="","",N(G50)*'Hourly Pay Calculator'!$C$9)</f>
        <v/>
      </c>
      <c r="K50" s="44">
        <f>IF(E50="","",E50-N(H50)-N(I50)-J50)</f>
        <v/>
      </c>
      <c r="L50" s="44">
        <f>IF(E50="","",MAX(0,K50)*'Hourly Pay Calculator'!$C$13*'Hourly Pay Calculator'!$C$12)</f>
        <v/>
      </c>
      <c r="M50" s="44">
        <f>IF(E50="","",K50-L50)</f>
        <v/>
      </c>
      <c r="N50" s="45">
        <f>IF(OR(E50="",N(F50)=0),"",M50/F50)</f>
        <v/>
      </c>
      <c r="O50" s="40" t="n"/>
      <c r="P50" s="1" t="n"/>
    </row>
    <row r="51">
      <c r="A51" s="1" t="n"/>
      <c r="B51" s="38" t="n"/>
      <c r="C51" s="40" t="n"/>
      <c r="D51" s="40" t="n"/>
      <c r="E51" s="41" t="n"/>
      <c r="F51" s="42" t="n"/>
      <c r="G51" s="43" t="n"/>
      <c r="H51" s="41" t="n"/>
      <c r="I51" s="41" t="n"/>
      <c r="J51" s="44">
        <f>IF(E51="","",N(G51)*'Hourly Pay Calculator'!$C$9)</f>
        <v/>
      </c>
      <c r="K51" s="44">
        <f>IF(E51="","",E51-N(H51)-N(I51)-J51)</f>
        <v/>
      </c>
      <c r="L51" s="44">
        <f>IF(E51="","",MAX(0,K51)*'Hourly Pay Calculator'!$C$13*'Hourly Pay Calculator'!$C$12)</f>
        <v/>
      </c>
      <c r="M51" s="44">
        <f>IF(E51="","",K51-L51)</f>
        <v/>
      </c>
      <c r="N51" s="45">
        <f>IF(OR(E51="",N(F51)=0),"",M51/F51)</f>
        <v/>
      </c>
      <c r="O51" s="40" t="n"/>
      <c r="P51" s="1" t="n"/>
    </row>
    <row r="52">
      <c r="A52" s="1" t="n"/>
      <c r="B52" s="38" t="n"/>
      <c r="C52" s="40" t="n"/>
      <c r="D52" s="40" t="n"/>
      <c r="E52" s="41" t="n"/>
      <c r="F52" s="42" t="n"/>
      <c r="G52" s="43" t="n"/>
      <c r="H52" s="41" t="n"/>
      <c r="I52" s="41" t="n"/>
      <c r="J52" s="44">
        <f>IF(E52="","",N(G52)*'Hourly Pay Calculator'!$C$9)</f>
        <v/>
      </c>
      <c r="K52" s="44">
        <f>IF(E52="","",E52-N(H52)-N(I52)-J52)</f>
        <v/>
      </c>
      <c r="L52" s="44">
        <f>IF(E52="","",MAX(0,K52)*'Hourly Pay Calculator'!$C$13*'Hourly Pay Calculator'!$C$12)</f>
        <v/>
      </c>
      <c r="M52" s="44">
        <f>IF(E52="","",K52-L52)</f>
        <v/>
      </c>
      <c r="N52" s="45">
        <f>IF(OR(E52="",N(F52)=0),"",M52/F52)</f>
        <v/>
      </c>
      <c r="O52" s="40" t="n"/>
      <c r="P52" s="1" t="n"/>
    </row>
    <row r="53">
      <c r="A53" s="1" t="n"/>
      <c r="B53" s="38" t="n"/>
      <c r="C53" s="40" t="n"/>
      <c r="D53" s="40" t="n"/>
      <c r="E53" s="41" t="n"/>
      <c r="F53" s="42" t="n"/>
      <c r="G53" s="43" t="n"/>
      <c r="H53" s="41" t="n"/>
      <c r="I53" s="41" t="n"/>
      <c r="J53" s="44">
        <f>IF(E53="","",N(G53)*'Hourly Pay Calculator'!$C$9)</f>
        <v/>
      </c>
      <c r="K53" s="44">
        <f>IF(E53="","",E53-N(H53)-N(I53)-J53)</f>
        <v/>
      </c>
      <c r="L53" s="44">
        <f>IF(E53="","",MAX(0,K53)*'Hourly Pay Calculator'!$C$13*'Hourly Pay Calculator'!$C$12)</f>
        <v/>
      </c>
      <c r="M53" s="44">
        <f>IF(E53="","",K53-L53)</f>
        <v/>
      </c>
      <c r="N53" s="45">
        <f>IF(OR(E53="",N(F53)=0),"",M53/F53)</f>
        <v/>
      </c>
      <c r="O53" s="40" t="n"/>
      <c r="P53" s="1" t="n"/>
    </row>
    <row r="54">
      <c r="A54" s="1" t="n"/>
      <c r="B54" s="38" t="n"/>
      <c r="C54" s="40" t="n"/>
      <c r="D54" s="40" t="n"/>
      <c r="E54" s="41" t="n"/>
      <c r="F54" s="42" t="n"/>
      <c r="G54" s="43" t="n"/>
      <c r="H54" s="41" t="n"/>
      <c r="I54" s="41" t="n"/>
      <c r="J54" s="44">
        <f>IF(E54="","",N(G54)*'Hourly Pay Calculator'!$C$9)</f>
        <v/>
      </c>
      <c r="K54" s="44">
        <f>IF(E54="","",E54-N(H54)-N(I54)-J54)</f>
        <v/>
      </c>
      <c r="L54" s="44">
        <f>IF(E54="","",MAX(0,K54)*'Hourly Pay Calculator'!$C$13*'Hourly Pay Calculator'!$C$12)</f>
        <v/>
      </c>
      <c r="M54" s="44">
        <f>IF(E54="","",K54-L54)</f>
        <v/>
      </c>
      <c r="N54" s="45">
        <f>IF(OR(E54="",N(F54)=0),"",M54/F54)</f>
        <v/>
      </c>
      <c r="O54" s="40" t="n"/>
      <c r="P54" s="1" t="n"/>
    </row>
    <row r="55">
      <c r="A55" s="1" t="n"/>
      <c r="B55" s="38" t="n"/>
      <c r="C55" s="40" t="n"/>
      <c r="D55" s="40" t="n"/>
      <c r="E55" s="41" t="n"/>
      <c r="F55" s="42" t="n"/>
      <c r="G55" s="43" t="n"/>
      <c r="H55" s="41" t="n"/>
      <c r="I55" s="41" t="n"/>
      <c r="J55" s="44">
        <f>IF(E55="","",N(G55)*'Hourly Pay Calculator'!$C$9)</f>
        <v/>
      </c>
      <c r="K55" s="44">
        <f>IF(E55="","",E55-N(H55)-N(I55)-J55)</f>
        <v/>
      </c>
      <c r="L55" s="44">
        <f>IF(E55="","",MAX(0,K55)*'Hourly Pay Calculator'!$C$13*'Hourly Pay Calculator'!$C$12)</f>
        <v/>
      </c>
      <c r="M55" s="44">
        <f>IF(E55="","",K55-L55)</f>
        <v/>
      </c>
      <c r="N55" s="45">
        <f>IF(OR(E55="",N(F55)=0),"",M55/F55)</f>
        <v/>
      </c>
      <c r="O55" s="40" t="n"/>
      <c r="P55" s="1" t="n"/>
    </row>
    <row r="56">
      <c r="A56" s="1" t="n"/>
      <c r="B56" s="38" t="n"/>
      <c r="C56" s="40" t="n"/>
      <c r="D56" s="40" t="n"/>
      <c r="E56" s="41" t="n"/>
      <c r="F56" s="42" t="n"/>
      <c r="G56" s="43" t="n"/>
      <c r="H56" s="41" t="n"/>
      <c r="I56" s="41" t="n"/>
      <c r="J56" s="44">
        <f>IF(E56="","",N(G56)*'Hourly Pay Calculator'!$C$9)</f>
        <v/>
      </c>
      <c r="K56" s="44">
        <f>IF(E56="","",E56-N(H56)-N(I56)-J56)</f>
        <v/>
      </c>
      <c r="L56" s="44">
        <f>IF(E56="","",MAX(0,K56)*'Hourly Pay Calculator'!$C$13*'Hourly Pay Calculator'!$C$12)</f>
        <v/>
      </c>
      <c r="M56" s="44">
        <f>IF(E56="","",K56-L56)</f>
        <v/>
      </c>
      <c r="N56" s="45">
        <f>IF(OR(E56="",N(F56)=0),"",M56/F56)</f>
        <v/>
      </c>
      <c r="O56" s="40" t="n"/>
      <c r="P56" s="1" t="n"/>
    </row>
    <row r="57">
      <c r="A57" s="1" t="n"/>
      <c r="B57" s="38" t="n"/>
      <c r="C57" s="40" t="n"/>
      <c r="D57" s="40" t="n"/>
      <c r="E57" s="41" t="n"/>
      <c r="F57" s="42" t="n"/>
      <c r="G57" s="43" t="n"/>
      <c r="H57" s="41" t="n"/>
      <c r="I57" s="41" t="n"/>
      <c r="J57" s="44">
        <f>IF(E57="","",N(G57)*'Hourly Pay Calculator'!$C$9)</f>
        <v/>
      </c>
      <c r="K57" s="44">
        <f>IF(E57="","",E57-N(H57)-N(I57)-J57)</f>
        <v/>
      </c>
      <c r="L57" s="44">
        <f>IF(E57="","",MAX(0,K57)*'Hourly Pay Calculator'!$C$13*'Hourly Pay Calculator'!$C$12)</f>
        <v/>
      </c>
      <c r="M57" s="44">
        <f>IF(E57="","",K57-L57)</f>
        <v/>
      </c>
      <c r="N57" s="45">
        <f>IF(OR(E57="",N(F57)=0),"",M57/F57)</f>
        <v/>
      </c>
      <c r="O57" s="40" t="n"/>
      <c r="P57" s="1" t="n"/>
    </row>
    <row r="58">
      <c r="A58" s="1" t="n"/>
      <c r="B58" s="38" t="n"/>
      <c r="C58" s="40" t="n"/>
      <c r="D58" s="40" t="n"/>
      <c r="E58" s="41" t="n"/>
      <c r="F58" s="42" t="n"/>
      <c r="G58" s="43" t="n"/>
      <c r="H58" s="41" t="n"/>
      <c r="I58" s="41" t="n"/>
      <c r="J58" s="44">
        <f>IF(E58="","",N(G58)*'Hourly Pay Calculator'!$C$9)</f>
        <v/>
      </c>
      <c r="K58" s="44">
        <f>IF(E58="","",E58-N(H58)-N(I58)-J58)</f>
        <v/>
      </c>
      <c r="L58" s="44">
        <f>IF(E58="","",MAX(0,K58)*'Hourly Pay Calculator'!$C$13*'Hourly Pay Calculator'!$C$12)</f>
        <v/>
      </c>
      <c r="M58" s="44">
        <f>IF(E58="","",K58-L58)</f>
        <v/>
      </c>
      <c r="N58" s="45">
        <f>IF(OR(E58="",N(F58)=0),"",M58/F58)</f>
        <v/>
      </c>
      <c r="O58" s="40" t="n"/>
      <c r="P58" s="1" t="n"/>
    </row>
    <row r="59">
      <c r="A59" s="1" t="n"/>
      <c r="B59" s="38" t="n"/>
      <c r="C59" s="40" t="n"/>
      <c r="D59" s="40" t="n"/>
      <c r="E59" s="41" t="n"/>
      <c r="F59" s="42" t="n"/>
      <c r="G59" s="43" t="n"/>
      <c r="H59" s="41" t="n"/>
      <c r="I59" s="41" t="n"/>
      <c r="J59" s="44">
        <f>IF(E59="","",N(G59)*'Hourly Pay Calculator'!$C$9)</f>
        <v/>
      </c>
      <c r="K59" s="44">
        <f>IF(E59="","",E59-N(H59)-N(I59)-J59)</f>
        <v/>
      </c>
      <c r="L59" s="44">
        <f>IF(E59="","",MAX(0,K59)*'Hourly Pay Calculator'!$C$13*'Hourly Pay Calculator'!$C$12)</f>
        <v/>
      </c>
      <c r="M59" s="44">
        <f>IF(E59="","",K59-L59)</f>
        <v/>
      </c>
      <c r="N59" s="45">
        <f>IF(OR(E59="",N(F59)=0),"",M59/F59)</f>
        <v/>
      </c>
      <c r="O59" s="40" t="n"/>
      <c r="P59" s="1" t="n"/>
    </row>
    <row r="60">
      <c r="A60" s="1" t="n"/>
      <c r="B60" s="38" t="n"/>
      <c r="C60" s="40" t="n"/>
      <c r="D60" s="40" t="n"/>
      <c r="E60" s="41" t="n"/>
      <c r="F60" s="42" t="n"/>
      <c r="G60" s="43" t="n"/>
      <c r="H60" s="41" t="n"/>
      <c r="I60" s="41" t="n"/>
      <c r="J60" s="44">
        <f>IF(E60="","",N(G60)*'Hourly Pay Calculator'!$C$9)</f>
        <v/>
      </c>
      <c r="K60" s="44">
        <f>IF(E60="","",E60-N(H60)-N(I60)-J60)</f>
        <v/>
      </c>
      <c r="L60" s="44">
        <f>IF(E60="","",MAX(0,K60)*'Hourly Pay Calculator'!$C$13*'Hourly Pay Calculator'!$C$12)</f>
        <v/>
      </c>
      <c r="M60" s="44">
        <f>IF(E60="","",K60-L60)</f>
        <v/>
      </c>
      <c r="N60" s="45">
        <f>IF(OR(E60="",N(F60)=0),"",M60/F60)</f>
        <v/>
      </c>
      <c r="O60" s="40" t="n"/>
      <c r="P60" s="1" t="n"/>
    </row>
    <row r="61">
      <c r="A61" s="1" t="n"/>
      <c r="B61" s="38" t="n"/>
      <c r="C61" s="40" t="n"/>
      <c r="D61" s="40" t="n"/>
      <c r="E61" s="41" t="n"/>
      <c r="F61" s="42" t="n"/>
      <c r="G61" s="43" t="n"/>
      <c r="H61" s="41" t="n"/>
      <c r="I61" s="41" t="n"/>
      <c r="J61" s="44">
        <f>IF(E61="","",N(G61)*'Hourly Pay Calculator'!$C$9)</f>
        <v/>
      </c>
      <c r="K61" s="44">
        <f>IF(E61="","",E61-N(H61)-N(I61)-J61)</f>
        <v/>
      </c>
      <c r="L61" s="44">
        <f>IF(E61="","",MAX(0,K61)*'Hourly Pay Calculator'!$C$13*'Hourly Pay Calculator'!$C$12)</f>
        <v/>
      </c>
      <c r="M61" s="44">
        <f>IF(E61="","",K61-L61)</f>
        <v/>
      </c>
      <c r="N61" s="45">
        <f>IF(OR(E61="",N(F61)=0),"",M61/F61)</f>
        <v/>
      </c>
      <c r="O61" s="40" t="n"/>
      <c r="P61" s="1" t="n"/>
    </row>
    <row r="62">
      <c r="A62" s="1" t="n"/>
      <c r="B62" s="38" t="n"/>
      <c r="C62" s="40" t="n"/>
      <c r="D62" s="40" t="n"/>
      <c r="E62" s="41" t="n"/>
      <c r="F62" s="42" t="n"/>
      <c r="G62" s="43" t="n"/>
      <c r="H62" s="41" t="n"/>
      <c r="I62" s="41" t="n"/>
      <c r="J62" s="44">
        <f>IF(E62="","",N(G62)*'Hourly Pay Calculator'!$C$9)</f>
        <v/>
      </c>
      <c r="K62" s="44">
        <f>IF(E62="","",E62-N(H62)-N(I62)-J62)</f>
        <v/>
      </c>
      <c r="L62" s="44">
        <f>IF(E62="","",MAX(0,K62)*'Hourly Pay Calculator'!$C$13*'Hourly Pay Calculator'!$C$12)</f>
        <v/>
      </c>
      <c r="M62" s="44">
        <f>IF(E62="","",K62-L62)</f>
        <v/>
      </c>
      <c r="N62" s="45">
        <f>IF(OR(E62="",N(F62)=0),"",M62/F62)</f>
        <v/>
      </c>
      <c r="O62" s="40" t="n"/>
      <c r="P62" s="1" t="n"/>
    </row>
    <row r="63">
      <c r="A63" s="1" t="n"/>
      <c r="B63" s="38" t="n"/>
      <c r="C63" s="40" t="n"/>
      <c r="D63" s="40" t="n"/>
      <c r="E63" s="41" t="n"/>
      <c r="F63" s="42" t="n"/>
      <c r="G63" s="43" t="n"/>
      <c r="H63" s="41" t="n"/>
      <c r="I63" s="41" t="n"/>
      <c r="J63" s="44">
        <f>IF(E63="","",N(G63)*'Hourly Pay Calculator'!$C$9)</f>
        <v/>
      </c>
      <c r="K63" s="44">
        <f>IF(E63="","",E63-N(H63)-N(I63)-J63)</f>
        <v/>
      </c>
      <c r="L63" s="44">
        <f>IF(E63="","",MAX(0,K63)*'Hourly Pay Calculator'!$C$13*'Hourly Pay Calculator'!$C$12)</f>
        <v/>
      </c>
      <c r="M63" s="44">
        <f>IF(E63="","",K63-L63)</f>
        <v/>
      </c>
      <c r="N63" s="45">
        <f>IF(OR(E63="",N(F63)=0),"",M63/F63)</f>
        <v/>
      </c>
      <c r="O63" s="40" t="n"/>
      <c r="P63" s="1" t="n"/>
    </row>
    <row r="64">
      <c r="A64" s="1" t="n"/>
      <c r="B64" s="38" t="n"/>
      <c r="C64" s="40" t="n"/>
      <c r="D64" s="40" t="n"/>
      <c r="E64" s="41" t="n"/>
      <c r="F64" s="42" t="n"/>
      <c r="G64" s="43" t="n"/>
      <c r="H64" s="41" t="n"/>
      <c r="I64" s="41" t="n"/>
      <c r="J64" s="44">
        <f>IF(E64="","",N(G64)*'Hourly Pay Calculator'!$C$9)</f>
        <v/>
      </c>
      <c r="K64" s="44">
        <f>IF(E64="","",E64-N(H64)-N(I64)-J64)</f>
        <v/>
      </c>
      <c r="L64" s="44">
        <f>IF(E64="","",MAX(0,K64)*'Hourly Pay Calculator'!$C$13*'Hourly Pay Calculator'!$C$12)</f>
        <v/>
      </c>
      <c r="M64" s="44">
        <f>IF(E64="","",K64-L64)</f>
        <v/>
      </c>
      <c r="N64" s="45">
        <f>IF(OR(E64="",N(F64)=0),"",M64/F64)</f>
        <v/>
      </c>
      <c r="O64" s="40" t="n"/>
      <c r="P64" s="1" t="n"/>
    </row>
    <row r="65">
      <c r="A65" s="1" t="n"/>
      <c r="B65" s="38" t="n"/>
      <c r="C65" s="40" t="n"/>
      <c r="D65" s="40" t="n"/>
      <c r="E65" s="41" t="n"/>
      <c r="F65" s="42" t="n"/>
      <c r="G65" s="43" t="n"/>
      <c r="H65" s="41" t="n"/>
      <c r="I65" s="41" t="n"/>
      <c r="J65" s="44">
        <f>IF(E65="","",N(G65)*'Hourly Pay Calculator'!$C$9)</f>
        <v/>
      </c>
      <c r="K65" s="44">
        <f>IF(E65="","",E65-N(H65)-N(I65)-J65)</f>
        <v/>
      </c>
      <c r="L65" s="44">
        <f>IF(E65="","",MAX(0,K65)*'Hourly Pay Calculator'!$C$13*'Hourly Pay Calculator'!$C$12)</f>
        <v/>
      </c>
      <c r="M65" s="44">
        <f>IF(E65="","",K65-L65)</f>
        <v/>
      </c>
      <c r="N65" s="45">
        <f>IF(OR(E65="",N(F65)=0),"",M65/F65)</f>
        <v/>
      </c>
      <c r="O65" s="40" t="n"/>
      <c r="P65" s="1" t="n"/>
    </row>
    <row r="66">
      <c r="A66" s="1" t="n"/>
      <c r="B66" s="38" t="n"/>
      <c r="C66" s="40" t="n"/>
      <c r="D66" s="40" t="n"/>
      <c r="E66" s="41" t="n"/>
      <c r="F66" s="42" t="n"/>
      <c r="G66" s="43" t="n"/>
      <c r="H66" s="41" t="n"/>
      <c r="I66" s="41" t="n"/>
      <c r="J66" s="44">
        <f>IF(E66="","",N(G66)*'Hourly Pay Calculator'!$C$9)</f>
        <v/>
      </c>
      <c r="K66" s="44">
        <f>IF(E66="","",E66-N(H66)-N(I66)-J66)</f>
        <v/>
      </c>
      <c r="L66" s="44">
        <f>IF(E66="","",MAX(0,K66)*'Hourly Pay Calculator'!$C$13*'Hourly Pay Calculator'!$C$12)</f>
        <v/>
      </c>
      <c r="M66" s="44">
        <f>IF(E66="","",K66-L66)</f>
        <v/>
      </c>
      <c r="N66" s="45">
        <f>IF(OR(E66="",N(F66)=0),"",M66/F66)</f>
        <v/>
      </c>
      <c r="O66" s="40" t="n"/>
      <c r="P66" s="1" t="n"/>
    </row>
    <row r="67">
      <c r="A67" s="1" t="n"/>
      <c r="B67" s="38" t="n"/>
      <c r="C67" s="40" t="n"/>
      <c r="D67" s="40" t="n"/>
      <c r="E67" s="41" t="n"/>
      <c r="F67" s="42" t="n"/>
      <c r="G67" s="43" t="n"/>
      <c r="H67" s="41" t="n"/>
      <c r="I67" s="41" t="n"/>
      <c r="J67" s="44">
        <f>IF(E67="","",N(G67)*'Hourly Pay Calculator'!$C$9)</f>
        <v/>
      </c>
      <c r="K67" s="44">
        <f>IF(E67="","",E67-N(H67)-N(I67)-J67)</f>
        <v/>
      </c>
      <c r="L67" s="44">
        <f>IF(E67="","",MAX(0,K67)*'Hourly Pay Calculator'!$C$13*'Hourly Pay Calculator'!$C$12)</f>
        <v/>
      </c>
      <c r="M67" s="44">
        <f>IF(E67="","",K67-L67)</f>
        <v/>
      </c>
      <c r="N67" s="45">
        <f>IF(OR(E67="",N(F67)=0),"",M67/F67)</f>
        <v/>
      </c>
      <c r="O67" s="40" t="n"/>
      <c r="P67" s="1" t="n"/>
    </row>
    <row r="68">
      <c r="A68" s="1" t="n"/>
      <c r="B68" s="38" t="n"/>
      <c r="C68" s="40" t="n"/>
      <c r="D68" s="40" t="n"/>
      <c r="E68" s="41" t="n"/>
      <c r="F68" s="42" t="n"/>
      <c r="G68" s="43" t="n"/>
      <c r="H68" s="41" t="n"/>
      <c r="I68" s="41" t="n"/>
      <c r="J68" s="44">
        <f>IF(E68="","",N(G68)*'Hourly Pay Calculator'!$C$9)</f>
        <v/>
      </c>
      <c r="K68" s="44">
        <f>IF(E68="","",E68-N(H68)-N(I68)-J68)</f>
        <v/>
      </c>
      <c r="L68" s="44">
        <f>IF(E68="","",MAX(0,K68)*'Hourly Pay Calculator'!$C$13*'Hourly Pay Calculator'!$C$12)</f>
        <v/>
      </c>
      <c r="M68" s="44">
        <f>IF(E68="","",K68-L68)</f>
        <v/>
      </c>
      <c r="N68" s="45">
        <f>IF(OR(E68="",N(F68)=0),"",M68/F68)</f>
        <v/>
      </c>
      <c r="O68" s="40" t="n"/>
      <c r="P68" s="1" t="n"/>
    </row>
    <row r="69">
      <c r="A69" s="1" t="n"/>
      <c r="B69" s="38" t="n"/>
      <c r="C69" s="40" t="n"/>
      <c r="D69" s="40" t="n"/>
      <c r="E69" s="41" t="n"/>
      <c r="F69" s="42" t="n"/>
      <c r="G69" s="43" t="n"/>
      <c r="H69" s="41" t="n"/>
      <c r="I69" s="41" t="n"/>
      <c r="J69" s="44">
        <f>IF(E69="","",N(G69)*'Hourly Pay Calculator'!$C$9)</f>
        <v/>
      </c>
      <c r="K69" s="44">
        <f>IF(E69="","",E69-N(H69)-N(I69)-J69)</f>
        <v/>
      </c>
      <c r="L69" s="44">
        <f>IF(E69="","",MAX(0,K69)*'Hourly Pay Calculator'!$C$13*'Hourly Pay Calculator'!$C$12)</f>
        <v/>
      </c>
      <c r="M69" s="44">
        <f>IF(E69="","",K69-L69)</f>
        <v/>
      </c>
      <c r="N69" s="45">
        <f>IF(OR(E69="",N(F69)=0),"",M69/F69)</f>
        <v/>
      </c>
      <c r="O69" s="40" t="n"/>
      <c r="P69" s="1" t="n"/>
    </row>
    <row r="70">
      <c r="A70" s="1" t="n"/>
      <c r="B70" s="38" t="n"/>
      <c r="C70" s="40" t="n"/>
      <c r="D70" s="40" t="n"/>
      <c r="E70" s="41" t="n"/>
      <c r="F70" s="42" t="n"/>
      <c r="G70" s="43" t="n"/>
      <c r="H70" s="41" t="n"/>
      <c r="I70" s="41" t="n"/>
      <c r="J70" s="44">
        <f>IF(E70="","",N(G70)*'Hourly Pay Calculator'!$C$9)</f>
        <v/>
      </c>
      <c r="K70" s="44">
        <f>IF(E70="","",E70-N(H70)-N(I70)-J70)</f>
        <v/>
      </c>
      <c r="L70" s="44">
        <f>IF(E70="","",MAX(0,K70)*'Hourly Pay Calculator'!$C$13*'Hourly Pay Calculator'!$C$12)</f>
        <v/>
      </c>
      <c r="M70" s="44">
        <f>IF(E70="","",K70-L70)</f>
        <v/>
      </c>
      <c r="N70" s="45">
        <f>IF(OR(E70="",N(F70)=0),"",M70/F70)</f>
        <v/>
      </c>
      <c r="O70" s="40" t="n"/>
      <c r="P70" s="1" t="n"/>
    </row>
    <row r="71">
      <c r="A71" s="1" t="n"/>
      <c r="B71" s="38" t="n"/>
      <c r="C71" s="40" t="n"/>
      <c r="D71" s="40" t="n"/>
      <c r="E71" s="41" t="n"/>
      <c r="F71" s="42" t="n"/>
      <c r="G71" s="43" t="n"/>
      <c r="H71" s="41" t="n"/>
      <c r="I71" s="41" t="n"/>
      <c r="J71" s="44">
        <f>IF(E71="","",N(G71)*'Hourly Pay Calculator'!$C$9)</f>
        <v/>
      </c>
      <c r="K71" s="44">
        <f>IF(E71="","",E71-N(H71)-N(I71)-J71)</f>
        <v/>
      </c>
      <c r="L71" s="44">
        <f>IF(E71="","",MAX(0,K71)*'Hourly Pay Calculator'!$C$13*'Hourly Pay Calculator'!$C$12)</f>
        <v/>
      </c>
      <c r="M71" s="44">
        <f>IF(E71="","",K71-L71)</f>
        <v/>
      </c>
      <c r="N71" s="45">
        <f>IF(OR(E71="",N(F71)=0),"",M71/F71)</f>
        <v/>
      </c>
      <c r="O71" s="40" t="n"/>
      <c r="P71" s="1" t="n"/>
    </row>
    <row r="72">
      <c r="A72" s="1" t="n"/>
      <c r="B72" s="38" t="n"/>
      <c r="C72" s="40" t="n"/>
      <c r="D72" s="40" t="n"/>
      <c r="E72" s="41" t="n"/>
      <c r="F72" s="42" t="n"/>
      <c r="G72" s="43" t="n"/>
      <c r="H72" s="41" t="n"/>
      <c r="I72" s="41" t="n"/>
      <c r="J72" s="44">
        <f>IF(E72="","",N(G72)*'Hourly Pay Calculator'!$C$9)</f>
        <v/>
      </c>
      <c r="K72" s="44">
        <f>IF(E72="","",E72-N(H72)-N(I72)-J72)</f>
        <v/>
      </c>
      <c r="L72" s="44">
        <f>IF(E72="","",MAX(0,K72)*'Hourly Pay Calculator'!$C$13*'Hourly Pay Calculator'!$C$12)</f>
        <v/>
      </c>
      <c r="M72" s="44">
        <f>IF(E72="","",K72-L72)</f>
        <v/>
      </c>
      <c r="N72" s="45">
        <f>IF(OR(E72="",N(F72)=0),"",M72/F72)</f>
        <v/>
      </c>
      <c r="O72" s="40" t="n"/>
      <c r="P72" s="1" t="n"/>
    </row>
    <row r="73">
      <c r="A73" s="1" t="n"/>
      <c r="B73" s="38" t="n"/>
      <c r="C73" s="40" t="n"/>
      <c r="D73" s="40" t="n"/>
      <c r="E73" s="41" t="n"/>
      <c r="F73" s="42" t="n"/>
      <c r="G73" s="43" t="n"/>
      <c r="H73" s="41" t="n"/>
      <c r="I73" s="41" t="n"/>
      <c r="J73" s="44">
        <f>IF(E73="","",N(G73)*'Hourly Pay Calculator'!$C$9)</f>
        <v/>
      </c>
      <c r="K73" s="44">
        <f>IF(E73="","",E73-N(H73)-N(I73)-J73)</f>
        <v/>
      </c>
      <c r="L73" s="44">
        <f>IF(E73="","",MAX(0,K73)*'Hourly Pay Calculator'!$C$13*'Hourly Pay Calculator'!$C$12)</f>
        <v/>
      </c>
      <c r="M73" s="44">
        <f>IF(E73="","",K73-L73)</f>
        <v/>
      </c>
      <c r="N73" s="45">
        <f>IF(OR(E73="",N(F73)=0),"",M73/F73)</f>
        <v/>
      </c>
      <c r="O73" s="40" t="n"/>
      <c r="P73" s="1" t="n"/>
    </row>
    <row r="74">
      <c r="A74" s="1" t="n"/>
      <c r="B74" s="38" t="n"/>
      <c r="C74" s="40" t="n"/>
      <c r="D74" s="40" t="n"/>
      <c r="E74" s="41" t="n"/>
      <c r="F74" s="42" t="n"/>
      <c r="G74" s="43" t="n"/>
      <c r="H74" s="41" t="n"/>
      <c r="I74" s="41" t="n"/>
      <c r="J74" s="44">
        <f>IF(E74="","",N(G74)*'Hourly Pay Calculator'!$C$9)</f>
        <v/>
      </c>
      <c r="K74" s="44">
        <f>IF(E74="","",E74-N(H74)-N(I74)-J74)</f>
        <v/>
      </c>
      <c r="L74" s="44">
        <f>IF(E74="","",MAX(0,K74)*'Hourly Pay Calculator'!$C$13*'Hourly Pay Calculator'!$C$12)</f>
        <v/>
      </c>
      <c r="M74" s="44">
        <f>IF(E74="","",K74-L74)</f>
        <v/>
      </c>
      <c r="N74" s="45">
        <f>IF(OR(E74="",N(F74)=0),"",M74/F74)</f>
        <v/>
      </c>
      <c r="O74" s="40" t="n"/>
      <c r="P74" s="1" t="n"/>
    </row>
    <row r="75">
      <c r="A75" s="1" t="n"/>
      <c r="B75" s="38" t="n"/>
      <c r="C75" s="40" t="n"/>
      <c r="D75" s="40" t="n"/>
      <c r="E75" s="41" t="n"/>
      <c r="F75" s="42" t="n"/>
      <c r="G75" s="43" t="n"/>
      <c r="H75" s="41" t="n"/>
      <c r="I75" s="41" t="n"/>
      <c r="J75" s="44">
        <f>IF(E75="","",N(G75)*'Hourly Pay Calculator'!$C$9)</f>
        <v/>
      </c>
      <c r="K75" s="44">
        <f>IF(E75="","",E75-N(H75)-N(I75)-J75)</f>
        <v/>
      </c>
      <c r="L75" s="44">
        <f>IF(E75="","",MAX(0,K75)*'Hourly Pay Calculator'!$C$13*'Hourly Pay Calculator'!$C$12)</f>
        <v/>
      </c>
      <c r="M75" s="44">
        <f>IF(E75="","",K75-L75)</f>
        <v/>
      </c>
      <c r="N75" s="45">
        <f>IF(OR(E75="",N(F75)=0),"",M75/F75)</f>
        <v/>
      </c>
      <c r="O75" s="40" t="n"/>
      <c r="P75" s="1" t="n"/>
    </row>
    <row r="76">
      <c r="A76" s="1" t="n"/>
      <c r="B76" s="38" t="n"/>
      <c r="C76" s="40" t="n"/>
      <c r="D76" s="40" t="n"/>
      <c r="E76" s="41" t="n"/>
      <c r="F76" s="42" t="n"/>
      <c r="G76" s="43" t="n"/>
      <c r="H76" s="41" t="n"/>
      <c r="I76" s="41" t="n"/>
      <c r="J76" s="44">
        <f>IF(E76="","",N(G76)*'Hourly Pay Calculator'!$C$9)</f>
        <v/>
      </c>
      <c r="K76" s="44">
        <f>IF(E76="","",E76-N(H76)-N(I76)-J76)</f>
        <v/>
      </c>
      <c r="L76" s="44">
        <f>IF(E76="","",MAX(0,K76)*'Hourly Pay Calculator'!$C$13*'Hourly Pay Calculator'!$C$12)</f>
        <v/>
      </c>
      <c r="M76" s="44">
        <f>IF(E76="","",K76-L76)</f>
        <v/>
      </c>
      <c r="N76" s="45">
        <f>IF(OR(E76="",N(F76)=0),"",M76/F76)</f>
        <v/>
      </c>
      <c r="O76" s="40" t="n"/>
      <c r="P76" s="1" t="n"/>
    </row>
    <row r="77">
      <c r="A77" s="1" t="n"/>
      <c r="B77" s="38" t="n"/>
      <c r="C77" s="40" t="n"/>
      <c r="D77" s="40" t="n"/>
      <c r="E77" s="41" t="n"/>
      <c r="F77" s="42" t="n"/>
      <c r="G77" s="43" t="n"/>
      <c r="H77" s="41" t="n"/>
      <c r="I77" s="41" t="n"/>
      <c r="J77" s="44">
        <f>IF(E77="","",N(G77)*'Hourly Pay Calculator'!$C$9)</f>
        <v/>
      </c>
      <c r="K77" s="44">
        <f>IF(E77="","",E77-N(H77)-N(I77)-J77)</f>
        <v/>
      </c>
      <c r="L77" s="44">
        <f>IF(E77="","",MAX(0,K77)*'Hourly Pay Calculator'!$C$13*'Hourly Pay Calculator'!$C$12)</f>
        <v/>
      </c>
      <c r="M77" s="44">
        <f>IF(E77="","",K77-L77)</f>
        <v/>
      </c>
      <c r="N77" s="45">
        <f>IF(OR(E77="",N(F77)=0),"",M77/F77)</f>
        <v/>
      </c>
      <c r="O77" s="40" t="n"/>
      <c r="P77" s="1" t="n"/>
    </row>
    <row r="78">
      <c r="A78" s="1" t="n"/>
      <c r="B78" s="38" t="n"/>
      <c r="C78" s="40" t="n"/>
      <c r="D78" s="40" t="n"/>
      <c r="E78" s="41" t="n"/>
      <c r="F78" s="42" t="n"/>
      <c r="G78" s="43" t="n"/>
      <c r="H78" s="41" t="n"/>
      <c r="I78" s="41" t="n"/>
      <c r="J78" s="44">
        <f>IF(E78="","",N(G78)*'Hourly Pay Calculator'!$C$9)</f>
        <v/>
      </c>
      <c r="K78" s="44">
        <f>IF(E78="","",E78-N(H78)-N(I78)-J78)</f>
        <v/>
      </c>
      <c r="L78" s="44">
        <f>IF(E78="","",MAX(0,K78)*'Hourly Pay Calculator'!$C$13*'Hourly Pay Calculator'!$C$12)</f>
        <v/>
      </c>
      <c r="M78" s="44">
        <f>IF(E78="","",K78-L78)</f>
        <v/>
      </c>
      <c r="N78" s="45">
        <f>IF(OR(E78="",N(F78)=0),"",M78/F78)</f>
        <v/>
      </c>
      <c r="O78" s="40" t="n"/>
      <c r="P78" s="1" t="n"/>
    </row>
    <row r="79">
      <c r="A79" s="1" t="n"/>
      <c r="B79" s="38" t="n"/>
      <c r="C79" s="40" t="n"/>
      <c r="D79" s="40" t="n"/>
      <c r="E79" s="41" t="n"/>
      <c r="F79" s="42" t="n"/>
      <c r="G79" s="43" t="n"/>
      <c r="H79" s="41" t="n"/>
      <c r="I79" s="41" t="n"/>
      <c r="J79" s="44">
        <f>IF(E79="","",N(G79)*'Hourly Pay Calculator'!$C$9)</f>
        <v/>
      </c>
      <c r="K79" s="44">
        <f>IF(E79="","",E79-N(H79)-N(I79)-J79)</f>
        <v/>
      </c>
      <c r="L79" s="44">
        <f>IF(E79="","",MAX(0,K79)*'Hourly Pay Calculator'!$C$13*'Hourly Pay Calculator'!$C$12)</f>
        <v/>
      </c>
      <c r="M79" s="44">
        <f>IF(E79="","",K79-L79)</f>
        <v/>
      </c>
      <c r="N79" s="45">
        <f>IF(OR(E79="",N(F79)=0),"",M79/F79)</f>
        <v/>
      </c>
      <c r="O79" s="40" t="n"/>
      <c r="P79" s="1" t="n"/>
    </row>
    <row r="80">
      <c r="A80" s="1" t="n"/>
      <c r="B80" s="38" t="n"/>
      <c r="C80" s="40" t="n"/>
      <c r="D80" s="40" t="n"/>
      <c r="E80" s="41" t="n"/>
      <c r="F80" s="42" t="n"/>
      <c r="G80" s="43" t="n"/>
      <c r="H80" s="41" t="n"/>
      <c r="I80" s="41" t="n"/>
      <c r="J80" s="44">
        <f>IF(E80="","",N(G80)*'Hourly Pay Calculator'!$C$9)</f>
        <v/>
      </c>
      <c r="K80" s="44">
        <f>IF(E80="","",E80-N(H80)-N(I80)-J80)</f>
        <v/>
      </c>
      <c r="L80" s="44">
        <f>IF(E80="","",MAX(0,K80)*'Hourly Pay Calculator'!$C$13*'Hourly Pay Calculator'!$C$12)</f>
        <v/>
      </c>
      <c r="M80" s="44">
        <f>IF(E80="","",K80-L80)</f>
        <v/>
      </c>
      <c r="N80" s="45">
        <f>IF(OR(E80="",N(F80)=0),"",M80/F80)</f>
        <v/>
      </c>
      <c r="O80" s="40" t="n"/>
      <c r="P80" s="1" t="n"/>
    </row>
    <row r="81">
      <c r="A81" s="1" t="n"/>
      <c r="B81" s="38" t="n"/>
      <c r="C81" s="40" t="n"/>
      <c r="D81" s="40" t="n"/>
      <c r="E81" s="41" t="n"/>
      <c r="F81" s="42" t="n"/>
      <c r="G81" s="43" t="n"/>
      <c r="H81" s="41" t="n"/>
      <c r="I81" s="41" t="n"/>
      <c r="J81" s="44">
        <f>IF(E81="","",N(G81)*'Hourly Pay Calculator'!$C$9)</f>
        <v/>
      </c>
      <c r="K81" s="44">
        <f>IF(E81="","",E81-N(H81)-N(I81)-J81)</f>
        <v/>
      </c>
      <c r="L81" s="44">
        <f>IF(E81="","",MAX(0,K81)*'Hourly Pay Calculator'!$C$13*'Hourly Pay Calculator'!$C$12)</f>
        <v/>
      </c>
      <c r="M81" s="44">
        <f>IF(E81="","",K81-L81)</f>
        <v/>
      </c>
      <c r="N81" s="45">
        <f>IF(OR(E81="",N(F81)=0),"",M81/F81)</f>
        <v/>
      </c>
      <c r="O81" s="40" t="n"/>
      <c r="P81" s="1" t="n"/>
    </row>
    <row r="82">
      <c r="A82" s="1" t="n"/>
      <c r="B82" s="38" t="n"/>
      <c r="C82" s="40" t="n"/>
      <c r="D82" s="40" t="n"/>
      <c r="E82" s="41" t="n"/>
      <c r="F82" s="42" t="n"/>
      <c r="G82" s="43" t="n"/>
      <c r="H82" s="41" t="n"/>
      <c r="I82" s="41" t="n"/>
      <c r="J82" s="44">
        <f>IF(E82="","",N(G82)*'Hourly Pay Calculator'!$C$9)</f>
        <v/>
      </c>
      <c r="K82" s="44">
        <f>IF(E82="","",E82-N(H82)-N(I82)-J82)</f>
        <v/>
      </c>
      <c r="L82" s="44">
        <f>IF(E82="","",MAX(0,K82)*'Hourly Pay Calculator'!$C$13*'Hourly Pay Calculator'!$C$12)</f>
        <v/>
      </c>
      <c r="M82" s="44">
        <f>IF(E82="","",K82-L82)</f>
        <v/>
      </c>
      <c r="N82" s="45">
        <f>IF(OR(E82="",N(F82)=0),"",M82/F82)</f>
        <v/>
      </c>
      <c r="O82" s="40" t="n"/>
      <c r="P82" s="1" t="n"/>
    </row>
    <row r="83">
      <c r="A83" s="1" t="n"/>
      <c r="B83" s="38" t="n"/>
      <c r="C83" s="40" t="n"/>
      <c r="D83" s="40" t="n"/>
      <c r="E83" s="41" t="n"/>
      <c r="F83" s="42" t="n"/>
      <c r="G83" s="43" t="n"/>
      <c r="H83" s="41" t="n"/>
      <c r="I83" s="41" t="n"/>
      <c r="J83" s="44">
        <f>IF(E83="","",N(G83)*'Hourly Pay Calculator'!$C$9)</f>
        <v/>
      </c>
      <c r="K83" s="44">
        <f>IF(E83="","",E83-N(H83)-N(I83)-J83)</f>
        <v/>
      </c>
      <c r="L83" s="44">
        <f>IF(E83="","",MAX(0,K83)*'Hourly Pay Calculator'!$C$13*'Hourly Pay Calculator'!$C$12)</f>
        <v/>
      </c>
      <c r="M83" s="44">
        <f>IF(E83="","",K83-L83)</f>
        <v/>
      </c>
      <c r="N83" s="45">
        <f>IF(OR(E83="",N(F83)=0),"",M83/F83)</f>
        <v/>
      </c>
      <c r="O83" s="40" t="n"/>
      <c r="P83" s="1" t="n"/>
    </row>
    <row r="84">
      <c r="A84" s="1" t="n"/>
      <c r="B84" s="38" t="n"/>
      <c r="C84" s="40" t="n"/>
      <c r="D84" s="40" t="n"/>
      <c r="E84" s="41" t="n"/>
      <c r="F84" s="42" t="n"/>
      <c r="G84" s="43" t="n"/>
      <c r="H84" s="41" t="n"/>
      <c r="I84" s="41" t="n"/>
      <c r="J84" s="44">
        <f>IF(E84="","",N(G84)*'Hourly Pay Calculator'!$C$9)</f>
        <v/>
      </c>
      <c r="K84" s="44">
        <f>IF(E84="","",E84-N(H84)-N(I84)-J84)</f>
        <v/>
      </c>
      <c r="L84" s="44">
        <f>IF(E84="","",MAX(0,K84)*'Hourly Pay Calculator'!$C$13*'Hourly Pay Calculator'!$C$12)</f>
        <v/>
      </c>
      <c r="M84" s="44">
        <f>IF(E84="","",K84-L84)</f>
        <v/>
      </c>
      <c r="N84" s="45">
        <f>IF(OR(E84="",N(F84)=0),"",M84/F84)</f>
        <v/>
      </c>
      <c r="O84" s="40" t="n"/>
      <c r="P84" s="1" t="n"/>
    </row>
    <row r="85">
      <c r="A85" s="1" t="n"/>
      <c r="B85" s="38" t="n"/>
      <c r="C85" s="40" t="n"/>
      <c r="D85" s="40" t="n"/>
      <c r="E85" s="41" t="n"/>
      <c r="F85" s="42" t="n"/>
      <c r="G85" s="43" t="n"/>
      <c r="H85" s="41" t="n"/>
      <c r="I85" s="41" t="n"/>
      <c r="J85" s="44">
        <f>IF(E85="","",N(G85)*'Hourly Pay Calculator'!$C$9)</f>
        <v/>
      </c>
      <c r="K85" s="44">
        <f>IF(E85="","",E85-N(H85)-N(I85)-J85)</f>
        <v/>
      </c>
      <c r="L85" s="44">
        <f>IF(E85="","",MAX(0,K85)*'Hourly Pay Calculator'!$C$13*'Hourly Pay Calculator'!$C$12)</f>
        <v/>
      </c>
      <c r="M85" s="44">
        <f>IF(E85="","",K85-L85)</f>
        <v/>
      </c>
      <c r="N85" s="45">
        <f>IF(OR(E85="",N(F85)=0),"",M85/F85)</f>
        <v/>
      </c>
      <c r="O85" s="40" t="n"/>
      <c r="P85" s="1" t="n"/>
    </row>
    <row r="86">
      <c r="A86" s="1" t="n"/>
      <c r="B86" s="38" t="n"/>
      <c r="C86" s="40" t="n"/>
      <c r="D86" s="40" t="n"/>
      <c r="E86" s="41" t="n"/>
      <c r="F86" s="42" t="n"/>
      <c r="G86" s="43" t="n"/>
      <c r="H86" s="41" t="n"/>
      <c r="I86" s="41" t="n"/>
      <c r="J86" s="44">
        <f>IF(E86="","",N(G86)*'Hourly Pay Calculator'!$C$9)</f>
        <v/>
      </c>
      <c r="K86" s="44">
        <f>IF(E86="","",E86-N(H86)-N(I86)-J86)</f>
        <v/>
      </c>
      <c r="L86" s="44">
        <f>IF(E86="","",MAX(0,K86)*'Hourly Pay Calculator'!$C$13*'Hourly Pay Calculator'!$C$12)</f>
        <v/>
      </c>
      <c r="M86" s="44">
        <f>IF(E86="","",K86-L86)</f>
        <v/>
      </c>
      <c r="N86" s="45">
        <f>IF(OR(E86="",N(F86)=0),"",M86/F86)</f>
        <v/>
      </c>
      <c r="O86" s="40" t="n"/>
      <c r="P86" s="1" t="n"/>
    </row>
    <row r="87">
      <c r="A87" s="1" t="n"/>
      <c r="B87" s="38" t="n"/>
      <c r="C87" s="40" t="n"/>
      <c r="D87" s="40" t="n"/>
      <c r="E87" s="41" t="n"/>
      <c r="F87" s="42" t="n"/>
      <c r="G87" s="43" t="n"/>
      <c r="H87" s="41" t="n"/>
      <c r="I87" s="41" t="n"/>
      <c r="J87" s="44">
        <f>IF(E87="","",N(G87)*'Hourly Pay Calculator'!$C$9)</f>
        <v/>
      </c>
      <c r="K87" s="44">
        <f>IF(E87="","",E87-N(H87)-N(I87)-J87)</f>
        <v/>
      </c>
      <c r="L87" s="44">
        <f>IF(E87="","",MAX(0,K87)*'Hourly Pay Calculator'!$C$13*'Hourly Pay Calculator'!$C$12)</f>
        <v/>
      </c>
      <c r="M87" s="44">
        <f>IF(E87="","",K87-L87)</f>
        <v/>
      </c>
      <c r="N87" s="45">
        <f>IF(OR(E87="",N(F87)=0),"",M87/F87)</f>
        <v/>
      </c>
      <c r="O87" s="40" t="n"/>
      <c r="P87" s="1" t="n"/>
    </row>
    <row r="88">
      <c r="A88" s="1" t="n"/>
      <c r="B88" s="38" t="n"/>
      <c r="C88" s="40" t="n"/>
      <c r="D88" s="40" t="n"/>
      <c r="E88" s="41" t="n"/>
      <c r="F88" s="42" t="n"/>
      <c r="G88" s="43" t="n"/>
      <c r="H88" s="41" t="n"/>
      <c r="I88" s="41" t="n"/>
      <c r="J88" s="44">
        <f>IF(E88="","",N(G88)*'Hourly Pay Calculator'!$C$9)</f>
        <v/>
      </c>
      <c r="K88" s="44">
        <f>IF(E88="","",E88-N(H88)-N(I88)-J88)</f>
        <v/>
      </c>
      <c r="L88" s="44">
        <f>IF(E88="","",MAX(0,K88)*'Hourly Pay Calculator'!$C$13*'Hourly Pay Calculator'!$C$12)</f>
        <v/>
      </c>
      <c r="M88" s="44">
        <f>IF(E88="","",K88-L88)</f>
        <v/>
      </c>
      <c r="N88" s="45">
        <f>IF(OR(E88="",N(F88)=0),"",M88/F88)</f>
        <v/>
      </c>
      <c r="O88" s="40" t="n"/>
      <c r="P88" s="1" t="n"/>
    </row>
    <row r="89">
      <c r="A89" s="1" t="n"/>
      <c r="B89" s="38" t="n"/>
      <c r="C89" s="40" t="n"/>
      <c r="D89" s="40" t="n"/>
      <c r="E89" s="41" t="n"/>
      <c r="F89" s="42" t="n"/>
      <c r="G89" s="43" t="n"/>
      <c r="H89" s="41" t="n"/>
      <c r="I89" s="41" t="n"/>
      <c r="J89" s="44">
        <f>IF(E89="","",N(G89)*'Hourly Pay Calculator'!$C$9)</f>
        <v/>
      </c>
      <c r="K89" s="44">
        <f>IF(E89="","",E89-N(H89)-N(I89)-J89)</f>
        <v/>
      </c>
      <c r="L89" s="44">
        <f>IF(E89="","",MAX(0,K89)*'Hourly Pay Calculator'!$C$13*'Hourly Pay Calculator'!$C$12)</f>
        <v/>
      </c>
      <c r="M89" s="44">
        <f>IF(E89="","",K89-L89)</f>
        <v/>
      </c>
      <c r="N89" s="45">
        <f>IF(OR(E89="",N(F89)=0),"",M89/F89)</f>
        <v/>
      </c>
      <c r="O89" s="40" t="n"/>
      <c r="P89" s="1" t="n"/>
    </row>
    <row r="90">
      <c r="A90" s="1" t="n"/>
      <c r="B90" s="38" t="n"/>
      <c r="C90" s="40" t="n"/>
      <c r="D90" s="40" t="n"/>
      <c r="E90" s="41" t="n"/>
      <c r="F90" s="42" t="n"/>
      <c r="G90" s="43" t="n"/>
      <c r="H90" s="41" t="n"/>
      <c r="I90" s="41" t="n"/>
      <c r="J90" s="44">
        <f>IF(E90="","",N(G90)*'Hourly Pay Calculator'!$C$9)</f>
        <v/>
      </c>
      <c r="K90" s="44">
        <f>IF(E90="","",E90-N(H90)-N(I90)-J90)</f>
        <v/>
      </c>
      <c r="L90" s="44">
        <f>IF(E90="","",MAX(0,K90)*'Hourly Pay Calculator'!$C$13*'Hourly Pay Calculator'!$C$12)</f>
        <v/>
      </c>
      <c r="M90" s="44">
        <f>IF(E90="","",K90-L90)</f>
        <v/>
      </c>
      <c r="N90" s="45">
        <f>IF(OR(E90="",N(F90)=0),"",M90/F90)</f>
        <v/>
      </c>
      <c r="O90" s="40" t="n"/>
      <c r="P90" s="1" t="n"/>
    </row>
    <row r="91">
      <c r="A91" s="1" t="n"/>
      <c r="B91" s="38" t="n"/>
      <c r="C91" s="40" t="n"/>
      <c r="D91" s="40" t="n"/>
      <c r="E91" s="41" t="n"/>
      <c r="F91" s="42" t="n"/>
      <c r="G91" s="43" t="n"/>
      <c r="H91" s="41" t="n"/>
      <c r="I91" s="41" t="n"/>
      <c r="J91" s="44">
        <f>IF(E91="","",N(G91)*'Hourly Pay Calculator'!$C$9)</f>
        <v/>
      </c>
      <c r="K91" s="44">
        <f>IF(E91="","",E91-N(H91)-N(I91)-J91)</f>
        <v/>
      </c>
      <c r="L91" s="44">
        <f>IF(E91="","",MAX(0,K91)*'Hourly Pay Calculator'!$C$13*'Hourly Pay Calculator'!$C$12)</f>
        <v/>
      </c>
      <c r="M91" s="44">
        <f>IF(E91="","",K91-L91)</f>
        <v/>
      </c>
      <c r="N91" s="45">
        <f>IF(OR(E91="",N(F91)=0),"",M91/F91)</f>
        <v/>
      </c>
      <c r="O91" s="40" t="n"/>
      <c r="P91" s="1" t="n"/>
    </row>
    <row r="92">
      <c r="A92" s="1" t="n"/>
      <c r="B92" s="38" t="n"/>
      <c r="C92" s="40" t="n"/>
      <c r="D92" s="40" t="n"/>
      <c r="E92" s="41" t="n"/>
      <c r="F92" s="42" t="n"/>
      <c r="G92" s="43" t="n"/>
      <c r="H92" s="41" t="n"/>
      <c r="I92" s="41" t="n"/>
      <c r="J92" s="44">
        <f>IF(E92="","",N(G92)*'Hourly Pay Calculator'!$C$9)</f>
        <v/>
      </c>
      <c r="K92" s="44">
        <f>IF(E92="","",E92-N(H92)-N(I92)-J92)</f>
        <v/>
      </c>
      <c r="L92" s="44">
        <f>IF(E92="","",MAX(0,K92)*'Hourly Pay Calculator'!$C$13*'Hourly Pay Calculator'!$C$12)</f>
        <v/>
      </c>
      <c r="M92" s="44">
        <f>IF(E92="","",K92-L92)</f>
        <v/>
      </c>
      <c r="N92" s="45">
        <f>IF(OR(E92="",N(F92)=0),"",M92/F92)</f>
        <v/>
      </c>
      <c r="O92" s="40" t="n"/>
      <c r="P92" s="1" t="n"/>
    </row>
    <row r="93">
      <c r="A93" s="1" t="n"/>
      <c r="B93" s="38" t="n"/>
      <c r="C93" s="40" t="n"/>
      <c r="D93" s="40" t="n"/>
      <c r="E93" s="41" t="n"/>
      <c r="F93" s="42" t="n"/>
      <c r="G93" s="43" t="n"/>
      <c r="H93" s="41" t="n"/>
      <c r="I93" s="41" t="n"/>
      <c r="J93" s="44">
        <f>IF(E93="","",N(G93)*'Hourly Pay Calculator'!$C$9)</f>
        <v/>
      </c>
      <c r="K93" s="44">
        <f>IF(E93="","",E93-N(H93)-N(I93)-J93)</f>
        <v/>
      </c>
      <c r="L93" s="44">
        <f>IF(E93="","",MAX(0,K93)*'Hourly Pay Calculator'!$C$13*'Hourly Pay Calculator'!$C$12)</f>
        <v/>
      </c>
      <c r="M93" s="44">
        <f>IF(E93="","",K93-L93)</f>
        <v/>
      </c>
      <c r="N93" s="45">
        <f>IF(OR(E93="",N(F93)=0),"",M93/F93)</f>
        <v/>
      </c>
      <c r="O93" s="40" t="n"/>
      <c r="P93" s="1" t="n"/>
    </row>
    <row r="94">
      <c r="A94" s="1" t="n"/>
      <c r="B94" s="38" t="n"/>
      <c r="C94" s="40" t="n"/>
      <c r="D94" s="40" t="n"/>
      <c r="E94" s="41" t="n"/>
      <c r="F94" s="42" t="n"/>
      <c r="G94" s="43" t="n"/>
      <c r="H94" s="41" t="n"/>
      <c r="I94" s="41" t="n"/>
      <c r="J94" s="44">
        <f>IF(E94="","",N(G94)*'Hourly Pay Calculator'!$C$9)</f>
        <v/>
      </c>
      <c r="K94" s="44">
        <f>IF(E94="","",E94-N(H94)-N(I94)-J94)</f>
        <v/>
      </c>
      <c r="L94" s="44">
        <f>IF(E94="","",MAX(0,K94)*'Hourly Pay Calculator'!$C$13*'Hourly Pay Calculator'!$C$12)</f>
        <v/>
      </c>
      <c r="M94" s="44">
        <f>IF(E94="","",K94-L94)</f>
        <v/>
      </c>
      <c r="N94" s="45">
        <f>IF(OR(E94="",N(F94)=0),"",M94/F94)</f>
        <v/>
      </c>
      <c r="O94" s="40" t="n"/>
      <c r="P94" s="1" t="n"/>
    </row>
    <row r="95">
      <c r="A95" s="1" t="n"/>
      <c r="B95" s="38" t="n"/>
      <c r="C95" s="40" t="n"/>
      <c r="D95" s="40" t="n"/>
      <c r="E95" s="41" t="n"/>
      <c r="F95" s="42" t="n"/>
      <c r="G95" s="43" t="n"/>
      <c r="H95" s="41" t="n"/>
      <c r="I95" s="41" t="n"/>
      <c r="J95" s="44">
        <f>IF(E95="","",N(G95)*'Hourly Pay Calculator'!$C$9)</f>
        <v/>
      </c>
      <c r="K95" s="44">
        <f>IF(E95="","",E95-N(H95)-N(I95)-J95)</f>
        <v/>
      </c>
      <c r="L95" s="44">
        <f>IF(E95="","",MAX(0,K95)*'Hourly Pay Calculator'!$C$13*'Hourly Pay Calculator'!$C$12)</f>
        <v/>
      </c>
      <c r="M95" s="44">
        <f>IF(E95="","",K95-L95)</f>
        <v/>
      </c>
      <c r="N95" s="45">
        <f>IF(OR(E95="",N(F95)=0),"",M95/F95)</f>
        <v/>
      </c>
      <c r="O95" s="40" t="n"/>
      <c r="P95" s="1" t="n"/>
    </row>
    <row r="96">
      <c r="A96" s="1" t="n"/>
      <c r="B96" s="38" t="n"/>
      <c r="C96" s="40" t="n"/>
      <c r="D96" s="40" t="n"/>
      <c r="E96" s="41" t="n"/>
      <c r="F96" s="42" t="n"/>
      <c r="G96" s="43" t="n"/>
      <c r="H96" s="41" t="n"/>
      <c r="I96" s="41" t="n"/>
      <c r="J96" s="44">
        <f>IF(E96="","",N(G96)*'Hourly Pay Calculator'!$C$9)</f>
        <v/>
      </c>
      <c r="K96" s="44">
        <f>IF(E96="","",E96-N(H96)-N(I96)-J96)</f>
        <v/>
      </c>
      <c r="L96" s="44">
        <f>IF(E96="","",MAX(0,K96)*'Hourly Pay Calculator'!$C$13*'Hourly Pay Calculator'!$C$12)</f>
        <v/>
      </c>
      <c r="M96" s="44">
        <f>IF(E96="","",K96-L96)</f>
        <v/>
      </c>
      <c r="N96" s="45">
        <f>IF(OR(E96="",N(F96)=0),"",M96/F96)</f>
        <v/>
      </c>
      <c r="O96" s="40" t="n"/>
      <c r="P96" s="1" t="n"/>
    </row>
    <row r="97">
      <c r="A97" s="1" t="n"/>
      <c r="B97" s="38" t="n"/>
      <c r="C97" s="40" t="n"/>
      <c r="D97" s="40" t="n"/>
      <c r="E97" s="41" t="n"/>
      <c r="F97" s="42" t="n"/>
      <c r="G97" s="43" t="n"/>
      <c r="H97" s="41" t="n"/>
      <c r="I97" s="41" t="n"/>
      <c r="J97" s="44">
        <f>IF(E97="","",N(G97)*'Hourly Pay Calculator'!$C$9)</f>
        <v/>
      </c>
      <c r="K97" s="44">
        <f>IF(E97="","",E97-N(H97)-N(I97)-J97)</f>
        <v/>
      </c>
      <c r="L97" s="44">
        <f>IF(E97="","",MAX(0,K97)*'Hourly Pay Calculator'!$C$13*'Hourly Pay Calculator'!$C$12)</f>
        <v/>
      </c>
      <c r="M97" s="44">
        <f>IF(E97="","",K97-L97)</f>
        <v/>
      </c>
      <c r="N97" s="45">
        <f>IF(OR(E97="",N(F97)=0),"",M97/F97)</f>
        <v/>
      </c>
      <c r="O97" s="40" t="n"/>
      <c r="P97" s="1" t="n"/>
    </row>
    <row r="98">
      <c r="A98" s="1" t="n"/>
      <c r="B98" s="38" t="n"/>
      <c r="C98" s="40" t="n"/>
      <c r="D98" s="40" t="n"/>
      <c r="E98" s="41" t="n"/>
      <c r="F98" s="42" t="n"/>
      <c r="G98" s="43" t="n"/>
      <c r="H98" s="41" t="n"/>
      <c r="I98" s="41" t="n"/>
      <c r="J98" s="44">
        <f>IF(E98="","",N(G98)*'Hourly Pay Calculator'!$C$9)</f>
        <v/>
      </c>
      <c r="K98" s="44">
        <f>IF(E98="","",E98-N(H98)-N(I98)-J98)</f>
        <v/>
      </c>
      <c r="L98" s="44">
        <f>IF(E98="","",MAX(0,K98)*'Hourly Pay Calculator'!$C$13*'Hourly Pay Calculator'!$C$12)</f>
        <v/>
      </c>
      <c r="M98" s="44">
        <f>IF(E98="","",K98-L98)</f>
        <v/>
      </c>
      <c r="N98" s="45">
        <f>IF(OR(E98="",N(F98)=0),"",M98/F98)</f>
        <v/>
      </c>
      <c r="O98" s="40" t="n"/>
      <c r="P98" s="1" t="n"/>
    </row>
    <row r="99">
      <c r="A99" s="1" t="n"/>
      <c r="B99" s="38" t="n"/>
      <c r="C99" s="40" t="n"/>
      <c r="D99" s="40" t="n"/>
      <c r="E99" s="41" t="n"/>
      <c r="F99" s="42" t="n"/>
      <c r="G99" s="43" t="n"/>
      <c r="H99" s="41" t="n"/>
      <c r="I99" s="41" t="n"/>
      <c r="J99" s="44">
        <f>IF(E99="","",N(G99)*'Hourly Pay Calculator'!$C$9)</f>
        <v/>
      </c>
      <c r="K99" s="44">
        <f>IF(E99="","",E99-N(H99)-N(I99)-J99)</f>
        <v/>
      </c>
      <c r="L99" s="44">
        <f>IF(E99="","",MAX(0,K99)*'Hourly Pay Calculator'!$C$13*'Hourly Pay Calculator'!$C$12)</f>
        <v/>
      </c>
      <c r="M99" s="44">
        <f>IF(E99="","",K99-L99)</f>
        <v/>
      </c>
      <c r="N99" s="45">
        <f>IF(OR(E99="",N(F99)=0),"",M99/F99)</f>
        <v/>
      </c>
      <c r="O99" s="40" t="n"/>
      <c r="P99" s="1" t="n"/>
    </row>
    <row r="100">
      <c r="A100" s="1" t="n"/>
      <c r="B100" s="38" t="n"/>
      <c r="C100" s="40" t="n"/>
      <c r="D100" s="40" t="n"/>
      <c r="E100" s="41" t="n"/>
      <c r="F100" s="42" t="n"/>
      <c r="G100" s="43" t="n"/>
      <c r="H100" s="41" t="n"/>
      <c r="I100" s="41" t="n"/>
      <c r="J100" s="44">
        <f>IF(E100="","",N(G100)*'Hourly Pay Calculator'!$C$9)</f>
        <v/>
      </c>
      <c r="K100" s="44">
        <f>IF(E100="","",E100-N(H100)-N(I100)-J100)</f>
        <v/>
      </c>
      <c r="L100" s="44">
        <f>IF(E100="","",MAX(0,K100)*'Hourly Pay Calculator'!$C$13*'Hourly Pay Calculator'!$C$12)</f>
        <v/>
      </c>
      <c r="M100" s="44">
        <f>IF(E100="","",K100-L100)</f>
        <v/>
      </c>
      <c r="N100" s="45">
        <f>IF(OR(E100="",N(F100)=0),"",M100/F100)</f>
        <v/>
      </c>
      <c r="O100" s="40" t="n"/>
      <c r="P100" s="1" t="n"/>
    </row>
    <row r="101">
      <c r="A101" s="1" t="n"/>
      <c r="B101" s="38" t="n"/>
      <c r="C101" s="40" t="n"/>
      <c r="D101" s="40" t="n"/>
      <c r="E101" s="41" t="n"/>
      <c r="F101" s="42" t="n"/>
      <c r="G101" s="43" t="n"/>
      <c r="H101" s="41" t="n"/>
      <c r="I101" s="41" t="n"/>
      <c r="J101" s="44">
        <f>IF(E101="","",N(G101)*'Hourly Pay Calculator'!$C$9)</f>
        <v/>
      </c>
      <c r="K101" s="44">
        <f>IF(E101="","",E101-N(H101)-N(I101)-J101)</f>
        <v/>
      </c>
      <c r="L101" s="44">
        <f>IF(E101="","",MAX(0,K101)*'Hourly Pay Calculator'!$C$13*'Hourly Pay Calculator'!$C$12)</f>
        <v/>
      </c>
      <c r="M101" s="44">
        <f>IF(E101="","",K101-L101)</f>
        <v/>
      </c>
      <c r="N101" s="45">
        <f>IF(OR(E101="",N(F101)=0),"",M101/F101)</f>
        <v/>
      </c>
      <c r="O101" s="40" t="n"/>
      <c r="P101" s="1" t="n"/>
    </row>
    <row r="102">
      <c r="A102" s="1" t="n"/>
      <c r="B102" s="38" t="n"/>
      <c r="C102" s="40" t="n"/>
      <c r="D102" s="40" t="n"/>
      <c r="E102" s="41" t="n"/>
      <c r="F102" s="42" t="n"/>
      <c r="G102" s="43" t="n"/>
      <c r="H102" s="41" t="n"/>
      <c r="I102" s="41" t="n"/>
      <c r="J102" s="44">
        <f>IF(E102="","",N(G102)*'Hourly Pay Calculator'!$C$9)</f>
        <v/>
      </c>
      <c r="K102" s="44">
        <f>IF(E102="","",E102-N(H102)-N(I102)-J102)</f>
        <v/>
      </c>
      <c r="L102" s="44">
        <f>IF(E102="","",MAX(0,K102)*'Hourly Pay Calculator'!$C$13*'Hourly Pay Calculator'!$C$12)</f>
        <v/>
      </c>
      <c r="M102" s="44">
        <f>IF(E102="","",K102-L102)</f>
        <v/>
      </c>
      <c r="N102" s="45">
        <f>IF(OR(E102="",N(F102)=0),"",M102/F102)</f>
        <v/>
      </c>
      <c r="O102" s="40" t="n"/>
      <c r="P102" s="1" t="n"/>
    </row>
    <row r="103">
      <c r="A103" s="1" t="n"/>
      <c r="B103" s="38" t="n"/>
      <c r="C103" s="40" t="n"/>
      <c r="D103" s="40" t="n"/>
      <c r="E103" s="41" t="n"/>
      <c r="F103" s="42" t="n"/>
      <c r="G103" s="43" t="n"/>
      <c r="H103" s="41" t="n"/>
      <c r="I103" s="41" t="n"/>
      <c r="J103" s="44">
        <f>IF(E103="","",N(G103)*'Hourly Pay Calculator'!$C$9)</f>
        <v/>
      </c>
      <c r="K103" s="44">
        <f>IF(E103="","",E103-N(H103)-N(I103)-J103)</f>
        <v/>
      </c>
      <c r="L103" s="44">
        <f>IF(E103="","",MAX(0,K103)*'Hourly Pay Calculator'!$C$13*'Hourly Pay Calculator'!$C$12)</f>
        <v/>
      </c>
      <c r="M103" s="44">
        <f>IF(E103="","",K103-L103)</f>
        <v/>
      </c>
      <c r="N103" s="45">
        <f>IF(OR(E103="",N(F103)=0),"",M103/F103)</f>
        <v/>
      </c>
      <c r="O103" s="40" t="n"/>
      <c r="P103" s="1" t="n"/>
    </row>
    <row r="104">
      <c r="A104" s="1" t="n"/>
      <c r="B104" s="38" t="n"/>
      <c r="C104" s="40" t="n"/>
      <c r="D104" s="40" t="n"/>
      <c r="E104" s="41" t="n"/>
      <c r="F104" s="42" t="n"/>
      <c r="G104" s="43" t="n"/>
      <c r="H104" s="41" t="n"/>
      <c r="I104" s="41" t="n"/>
      <c r="J104" s="44">
        <f>IF(E104="","",N(G104)*'Hourly Pay Calculator'!$C$9)</f>
        <v/>
      </c>
      <c r="K104" s="44">
        <f>IF(E104="","",E104-N(H104)-N(I104)-J104)</f>
        <v/>
      </c>
      <c r="L104" s="44">
        <f>IF(E104="","",MAX(0,K104)*'Hourly Pay Calculator'!$C$13*'Hourly Pay Calculator'!$C$12)</f>
        <v/>
      </c>
      <c r="M104" s="44">
        <f>IF(E104="","",K104-L104)</f>
        <v/>
      </c>
      <c r="N104" s="45">
        <f>IF(OR(E104="",N(F104)=0),"",M104/F104)</f>
        <v/>
      </c>
      <c r="O104" s="40" t="n"/>
      <c r="P104" s="1" t="n"/>
    </row>
    <row r="105">
      <c r="A105" s="1" t="n"/>
      <c r="B105" s="38" t="n"/>
      <c r="C105" s="40" t="n"/>
      <c r="D105" s="40" t="n"/>
      <c r="E105" s="41" t="n"/>
      <c r="F105" s="42" t="n"/>
      <c r="G105" s="43" t="n"/>
      <c r="H105" s="41" t="n"/>
      <c r="I105" s="41" t="n"/>
      <c r="J105" s="44">
        <f>IF(E105="","",N(G105)*'Hourly Pay Calculator'!$C$9)</f>
        <v/>
      </c>
      <c r="K105" s="44">
        <f>IF(E105="","",E105-N(H105)-N(I105)-J105)</f>
        <v/>
      </c>
      <c r="L105" s="44">
        <f>IF(E105="","",MAX(0,K105)*'Hourly Pay Calculator'!$C$13*'Hourly Pay Calculator'!$C$12)</f>
        <v/>
      </c>
      <c r="M105" s="44">
        <f>IF(E105="","",K105-L105)</f>
        <v/>
      </c>
      <c r="N105" s="45">
        <f>IF(OR(E105="",N(F105)=0),"",M105/F105)</f>
        <v/>
      </c>
      <c r="O105" s="40" t="n"/>
      <c r="P105" s="1" t="n"/>
    </row>
    <row r="106">
      <c r="A106" s="1" t="n"/>
      <c r="B106" s="38" t="n"/>
      <c r="C106" s="40" t="n"/>
      <c r="D106" s="40" t="n"/>
      <c r="E106" s="41" t="n"/>
      <c r="F106" s="42" t="n"/>
      <c r="G106" s="43" t="n"/>
      <c r="H106" s="41" t="n"/>
      <c r="I106" s="41" t="n"/>
      <c r="J106" s="44">
        <f>IF(E106="","",N(G106)*'Hourly Pay Calculator'!$C$9)</f>
        <v/>
      </c>
      <c r="K106" s="44">
        <f>IF(E106="","",E106-N(H106)-N(I106)-J106)</f>
        <v/>
      </c>
      <c r="L106" s="44">
        <f>IF(E106="","",MAX(0,K106)*'Hourly Pay Calculator'!$C$13*'Hourly Pay Calculator'!$C$12)</f>
        <v/>
      </c>
      <c r="M106" s="44">
        <f>IF(E106="","",K106-L106)</f>
        <v/>
      </c>
      <c r="N106" s="45">
        <f>IF(OR(E106="",N(F106)=0),"",M106/F106)</f>
        <v/>
      </c>
      <c r="O106" s="40" t="n"/>
      <c r="P106" s="1" t="n"/>
    </row>
    <row r="107">
      <c r="A107" s="1" t="n"/>
      <c r="B107" s="38" t="n"/>
      <c r="C107" s="40" t="n"/>
      <c r="D107" s="40" t="n"/>
      <c r="E107" s="41" t="n"/>
      <c r="F107" s="42" t="n"/>
      <c r="G107" s="43" t="n"/>
      <c r="H107" s="41" t="n"/>
      <c r="I107" s="41" t="n"/>
      <c r="J107" s="44">
        <f>IF(E107="","",N(G107)*'Hourly Pay Calculator'!$C$9)</f>
        <v/>
      </c>
      <c r="K107" s="44">
        <f>IF(E107="","",E107-N(H107)-N(I107)-J107)</f>
        <v/>
      </c>
      <c r="L107" s="44">
        <f>IF(E107="","",MAX(0,K107)*'Hourly Pay Calculator'!$C$13*'Hourly Pay Calculator'!$C$12)</f>
        <v/>
      </c>
      <c r="M107" s="44">
        <f>IF(E107="","",K107-L107)</f>
        <v/>
      </c>
      <c r="N107" s="45">
        <f>IF(OR(E107="",N(F107)=0),"",M107/F107)</f>
        <v/>
      </c>
      <c r="O107" s="40" t="n"/>
      <c r="P107" s="1" t="n"/>
    </row>
    <row r="108">
      <c r="A108" s="1" t="n"/>
      <c r="B108" s="38" t="n"/>
      <c r="C108" s="40" t="n"/>
      <c r="D108" s="40" t="n"/>
      <c r="E108" s="41" t="n"/>
      <c r="F108" s="42" t="n"/>
      <c r="G108" s="43" t="n"/>
      <c r="H108" s="41" t="n"/>
      <c r="I108" s="41" t="n"/>
      <c r="J108" s="44">
        <f>IF(E108="","",N(G108)*'Hourly Pay Calculator'!$C$9)</f>
        <v/>
      </c>
      <c r="K108" s="44">
        <f>IF(E108="","",E108-N(H108)-N(I108)-J108)</f>
        <v/>
      </c>
      <c r="L108" s="44">
        <f>IF(E108="","",MAX(0,K108)*'Hourly Pay Calculator'!$C$13*'Hourly Pay Calculator'!$C$12)</f>
        <v/>
      </c>
      <c r="M108" s="44">
        <f>IF(E108="","",K108-L108)</f>
        <v/>
      </c>
      <c r="N108" s="45">
        <f>IF(OR(E108="",N(F108)=0),"",M108/F108)</f>
        <v/>
      </c>
      <c r="O108" s="40" t="n"/>
      <c r="P108" s="1" t="n"/>
    </row>
    <row r="109">
      <c r="A109" s="1" t="n"/>
      <c r="B109" s="38" t="n"/>
      <c r="C109" s="40" t="n"/>
      <c r="D109" s="40" t="n"/>
      <c r="E109" s="41" t="n"/>
      <c r="F109" s="42" t="n"/>
      <c r="G109" s="43" t="n"/>
      <c r="H109" s="41" t="n"/>
      <c r="I109" s="41" t="n"/>
      <c r="J109" s="44">
        <f>IF(E109="","",N(G109)*'Hourly Pay Calculator'!$C$9)</f>
        <v/>
      </c>
      <c r="K109" s="44">
        <f>IF(E109="","",E109-N(H109)-N(I109)-J109)</f>
        <v/>
      </c>
      <c r="L109" s="44">
        <f>IF(E109="","",MAX(0,K109)*'Hourly Pay Calculator'!$C$13*'Hourly Pay Calculator'!$C$12)</f>
        <v/>
      </c>
      <c r="M109" s="44">
        <f>IF(E109="","",K109-L109)</f>
        <v/>
      </c>
      <c r="N109" s="45">
        <f>IF(OR(E109="",N(F109)=0),"",M109/F109)</f>
        <v/>
      </c>
      <c r="O109" s="40" t="n"/>
      <c r="P109" s="1" t="n"/>
    </row>
    <row r="110">
      <c r="A110" s="1" t="n"/>
      <c r="B110" s="38" t="n"/>
      <c r="C110" s="40" t="n"/>
      <c r="D110" s="40" t="n"/>
      <c r="E110" s="41" t="n"/>
      <c r="F110" s="42" t="n"/>
      <c r="G110" s="43" t="n"/>
      <c r="H110" s="41" t="n"/>
      <c r="I110" s="41" t="n"/>
      <c r="J110" s="44">
        <f>IF(E110="","",N(G110)*'Hourly Pay Calculator'!$C$9)</f>
        <v/>
      </c>
      <c r="K110" s="44">
        <f>IF(E110="","",E110-N(H110)-N(I110)-J110)</f>
        <v/>
      </c>
      <c r="L110" s="44">
        <f>IF(E110="","",MAX(0,K110)*'Hourly Pay Calculator'!$C$13*'Hourly Pay Calculator'!$C$12)</f>
        <v/>
      </c>
      <c r="M110" s="44">
        <f>IF(E110="","",K110-L110)</f>
        <v/>
      </c>
      <c r="N110" s="45">
        <f>IF(OR(E110="",N(F110)=0),"",M110/F110)</f>
        <v/>
      </c>
      <c r="O110" s="40" t="n"/>
      <c r="P110" s="1" t="n"/>
    </row>
    <row r="111">
      <c r="A111" s="1" t="n"/>
      <c r="B111" s="38" t="n"/>
      <c r="C111" s="40" t="n"/>
      <c r="D111" s="40" t="n"/>
      <c r="E111" s="41" t="n"/>
      <c r="F111" s="42" t="n"/>
      <c r="G111" s="43" t="n"/>
      <c r="H111" s="41" t="n"/>
      <c r="I111" s="41" t="n"/>
      <c r="J111" s="44">
        <f>IF(E111="","",N(G111)*'Hourly Pay Calculator'!$C$9)</f>
        <v/>
      </c>
      <c r="K111" s="44">
        <f>IF(E111="","",E111-N(H111)-N(I111)-J111)</f>
        <v/>
      </c>
      <c r="L111" s="44">
        <f>IF(E111="","",MAX(0,K111)*'Hourly Pay Calculator'!$C$13*'Hourly Pay Calculator'!$C$12)</f>
        <v/>
      </c>
      <c r="M111" s="44">
        <f>IF(E111="","",K111-L111)</f>
        <v/>
      </c>
      <c r="N111" s="45">
        <f>IF(OR(E111="",N(F111)=0),"",M111/F111)</f>
        <v/>
      </c>
      <c r="O111" s="40" t="n"/>
      <c r="P111" s="1" t="n"/>
    </row>
    <row r="112">
      <c r="A112" s="1" t="n"/>
      <c r="B112" s="38" t="n"/>
      <c r="C112" s="40" t="n"/>
      <c r="D112" s="40" t="n"/>
      <c r="E112" s="41" t="n"/>
      <c r="F112" s="42" t="n"/>
      <c r="G112" s="43" t="n"/>
      <c r="H112" s="41" t="n"/>
      <c r="I112" s="41" t="n"/>
      <c r="J112" s="44">
        <f>IF(E112="","",N(G112)*'Hourly Pay Calculator'!$C$9)</f>
        <v/>
      </c>
      <c r="K112" s="44">
        <f>IF(E112="","",E112-N(H112)-N(I112)-J112)</f>
        <v/>
      </c>
      <c r="L112" s="44">
        <f>IF(E112="","",MAX(0,K112)*'Hourly Pay Calculator'!$C$13*'Hourly Pay Calculator'!$C$12)</f>
        <v/>
      </c>
      <c r="M112" s="44">
        <f>IF(E112="","",K112-L112)</f>
        <v/>
      </c>
      <c r="N112" s="45">
        <f>IF(OR(E112="",N(F112)=0),"",M112/F112)</f>
        <v/>
      </c>
      <c r="O112" s="40" t="n"/>
      <c r="P112" s="1" t="n"/>
    </row>
    <row r="113">
      <c r="A113" s="1" t="n"/>
      <c r="B113" s="38" t="n"/>
      <c r="C113" s="40" t="n"/>
      <c r="D113" s="40" t="n"/>
      <c r="E113" s="41" t="n"/>
      <c r="F113" s="42" t="n"/>
      <c r="G113" s="43" t="n"/>
      <c r="H113" s="41" t="n"/>
      <c r="I113" s="41" t="n"/>
      <c r="J113" s="44">
        <f>IF(E113="","",N(G113)*'Hourly Pay Calculator'!$C$9)</f>
        <v/>
      </c>
      <c r="K113" s="44">
        <f>IF(E113="","",E113-N(H113)-N(I113)-J113)</f>
        <v/>
      </c>
      <c r="L113" s="44">
        <f>IF(E113="","",MAX(0,K113)*'Hourly Pay Calculator'!$C$13*'Hourly Pay Calculator'!$C$12)</f>
        <v/>
      </c>
      <c r="M113" s="44">
        <f>IF(E113="","",K113-L113)</f>
        <v/>
      </c>
      <c r="N113" s="45">
        <f>IF(OR(E113="",N(F113)=0),"",M113/F113)</f>
        <v/>
      </c>
      <c r="O113" s="40" t="n"/>
      <c r="P113" s="1" t="n"/>
    </row>
    <row r="114">
      <c r="A114" s="1" t="n"/>
      <c r="B114" s="38" t="n"/>
      <c r="C114" s="40" t="n"/>
      <c r="D114" s="40" t="n"/>
      <c r="E114" s="41" t="n"/>
      <c r="F114" s="42" t="n"/>
      <c r="G114" s="43" t="n"/>
      <c r="H114" s="41" t="n"/>
      <c r="I114" s="41" t="n"/>
      <c r="J114" s="44">
        <f>IF(E114="","",N(G114)*'Hourly Pay Calculator'!$C$9)</f>
        <v/>
      </c>
      <c r="K114" s="44">
        <f>IF(E114="","",E114-N(H114)-N(I114)-J114)</f>
        <v/>
      </c>
      <c r="L114" s="44">
        <f>IF(E114="","",MAX(0,K114)*'Hourly Pay Calculator'!$C$13*'Hourly Pay Calculator'!$C$12)</f>
        <v/>
      </c>
      <c r="M114" s="44">
        <f>IF(E114="","",K114-L114)</f>
        <v/>
      </c>
      <c r="N114" s="45">
        <f>IF(OR(E114="",N(F114)=0),"",M114/F114)</f>
        <v/>
      </c>
      <c r="O114" s="40" t="n"/>
      <c r="P114" s="1" t="n"/>
    </row>
    <row r="115">
      <c r="A115" s="1" t="n"/>
      <c r="B115" s="38" t="n"/>
      <c r="C115" s="40" t="n"/>
      <c r="D115" s="40" t="n"/>
      <c r="E115" s="41" t="n"/>
      <c r="F115" s="42" t="n"/>
      <c r="G115" s="43" t="n"/>
      <c r="H115" s="41" t="n"/>
      <c r="I115" s="41" t="n"/>
      <c r="J115" s="44">
        <f>IF(E115="","",N(G115)*'Hourly Pay Calculator'!$C$9)</f>
        <v/>
      </c>
      <c r="K115" s="44">
        <f>IF(E115="","",E115-N(H115)-N(I115)-J115)</f>
        <v/>
      </c>
      <c r="L115" s="44">
        <f>IF(E115="","",MAX(0,K115)*'Hourly Pay Calculator'!$C$13*'Hourly Pay Calculator'!$C$12)</f>
        <v/>
      </c>
      <c r="M115" s="44">
        <f>IF(E115="","",K115-L115)</f>
        <v/>
      </c>
      <c r="N115" s="45">
        <f>IF(OR(E115="",N(F115)=0),"",M115/F115)</f>
        <v/>
      </c>
      <c r="O115" s="40" t="n"/>
      <c r="P115" s="1" t="n"/>
    </row>
    <row r="116">
      <c r="A116" s="1" t="n"/>
      <c r="B116" s="38" t="n"/>
      <c r="C116" s="40" t="n"/>
      <c r="D116" s="40" t="n"/>
      <c r="E116" s="41" t="n"/>
      <c r="F116" s="42" t="n"/>
      <c r="G116" s="43" t="n"/>
      <c r="H116" s="41" t="n"/>
      <c r="I116" s="41" t="n"/>
      <c r="J116" s="44">
        <f>IF(E116="","",N(G116)*'Hourly Pay Calculator'!$C$9)</f>
        <v/>
      </c>
      <c r="K116" s="44">
        <f>IF(E116="","",E116-N(H116)-N(I116)-J116)</f>
        <v/>
      </c>
      <c r="L116" s="44">
        <f>IF(E116="","",MAX(0,K116)*'Hourly Pay Calculator'!$C$13*'Hourly Pay Calculator'!$C$12)</f>
        <v/>
      </c>
      <c r="M116" s="44">
        <f>IF(E116="","",K116-L116)</f>
        <v/>
      </c>
      <c r="N116" s="45">
        <f>IF(OR(E116="",N(F116)=0),"",M116/F116)</f>
        <v/>
      </c>
      <c r="O116" s="40" t="n"/>
      <c r="P116" s="1" t="n"/>
    </row>
    <row r="117">
      <c r="A117" s="1" t="n"/>
      <c r="B117" s="38" t="n"/>
      <c r="C117" s="40" t="n"/>
      <c r="D117" s="40" t="n"/>
      <c r="E117" s="41" t="n"/>
      <c r="F117" s="42" t="n"/>
      <c r="G117" s="43" t="n"/>
      <c r="H117" s="41" t="n"/>
      <c r="I117" s="41" t="n"/>
      <c r="J117" s="44">
        <f>IF(E117="","",N(G117)*'Hourly Pay Calculator'!$C$9)</f>
        <v/>
      </c>
      <c r="K117" s="44">
        <f>IF(E117="","",E117-N(H117)-N(I117)-J117)</f>
        <v/>
      </c>
      <c r="L117" s="44">
        <f>IF(E117="","",MAX(0,K117)*'Hourly Pay Calculator'!$C$13*'Hourly Pay Calculator'!$C$12)</f>
        <v/>
      </c>
      <c r="M117" s="44">
        <f>IF(E117="","",K117-L117)</f>
        <v/>
      </c>
      <c r="N117" s="45">
        <f>IF(OR(E117="",N(F117)=0),"",M117/F117)</f>
        <v/>
      </c>
      <c r="O117" s="40" t="n"/>
      <c r="P117" s="1" t="n"/>
    </row>
    <row r="118">
      <c r="A118" s="1" t="n"/>
      <c r="B118" s="38" t="n"/>
      <c r="C118" s="40" t="n"/>
      <c r="D118" s="40" t="n"/>
      <c r="E118" s="41" t="n"/>
      <c r="F118" s="42" t="n"/>
      <c r="G118" s="43" t="n"/>
      <c r="H118" s="41" t="n"/>
      <c r="I118" s="41" t="n"/>
      <c r="J118" s="44">
        <f>IF(E118="","",N(G118)*'Hourly Pay Calculator'!$C$9)</f>
        <v/>
      </c>
      <c r="K118" s="44">
        <f>IF(E118="","",E118-N(H118)-N(I118)-J118)</f>
        <v/>
      </c>
      <c r="L118" s="44">
        <f>IF(E118="","",MAX(0,K118)*'Hourly Pay Calculator'!$C$13*'Hourly Pay Calculator'!$C$12)</f>
        <v/>
      </c>
      <c r="M118" s="44">
        <f>IF(E118="","",K118-L118)</f>
        <v/>
      </c>
      <c r="N118" s="45">
        <f>IF(OR(E118="",N(F118)=0),"",M118/F118)</f>
        <v/>
      </c>
      <c r="O118" s="40" t="n"/>
      <c r="P118" s="1" t="n"/>
    </row>
    <row r="119">
      <c r="A119" s="1" t="n"/>
      <c r="B119" s="38" t="n"/>
      <c r="C119" s="40" t="n"/>
      <c r="D119" s="40" t="n"/>
      <c r="E119" s="41" t="n"/>
      <c r="F119" s="42" t="n"/>
      <c r="G119" s="43" t="n"/>
      <c r="H119" s="41" t="n"/>
      <c r="I119" s="41" t="n"/>
      <c r="J119" s="44">
        <f>IF(E119="","",N(G119)*'Hourly Pay Calculator'!$C$9)</f>
        <v/>
      </c>
      <c r="K119" s="44">
        <f>IF(E119="","",E119-N(H119)-N(I119)-J119)</f>
        <v/>
      </c>
      <c r="L119" s="44">
        <f>IF(E119="","",MAX(0,K119)*'Hourly Pay Calculator'!$C$13*'Hourly Pay Calculator'!$C$12)</f>
        <v/>
      </c>
      <c r="M119" s="44">
        <f>IF(E119="","",K119-L119)</f>
        <v/>
      </c>
      <c r="N119" s="45">
        <f>IF(OR(E119="",N(F119)=0),"",M119/F119)</f>
        <v/>
      </c>
      <c r="O119" s="40" t="n"/>
      <c r="P119" s="1" t="n"/>
    </row>
    <row r="120">
      <c r="A120" s="1" t="n"/>
      <c r="B120" s="38" t="n"/>
      <c r="C120" s="40" t="n"/>
      <c r="D120" s="40" t="n"/>
      <c r="E120" s="41" t="n"/>
      <c r="F120" s="42" t="n"/>
      <c r="G120" s="43" t="n"/>
      <c r="H120" s="41" t="n"/>
      <c r="I120" s="41" t="n"/>
      <c r="J120" s="44">
        <f>IF(E120="","",N(G120)*'Hourly Pay Calculator'!$C$9)</f>
        <v/>
      </c>
      <c r="K120" s="44">
        <f>IF(E120="","",E120-N(H120)-N(I120)-J120)</f>
        <v/>
      </c>
      <c r="L120" s="44">
        <f>IF(E120="","",MAX(0,K120)*'Hourly Pay Calculator'!$C$13*'Hourly Pay Calculator'!$C$12)</f>
        <v/>
      </c>
      <c r="M120" s="44">
        <f>IF(E120="","",K120-L120)</f>
        <v/>
      </c>
      <c r="N120" s="45">
        <f>IF(OR(E120="",N(F120)=0),"",M120/F120)</f>
        <v/>
      </c>
      <c r="O120" s="40" t="n"/>
      <c r="P120" s="1" t="n"/>
    </row>
    <row r="121">
      <c r="B121" s="46" t="n"/>
      <c r="C121" s="47" t="n"/>
      <c r="D121" s="47" t="n"/>
      <c r="E121" s="48" t="n"/>
      <c r="F121" s="49" t="n"/>
      <c r="G121" s="50" t="n"/>
      <c r="H121" s="48" t="n"/>
      <c r="I121" s="48" t="n"/>
      <c r="J121" s="44">
        <f>IF(E121="","",N(G121)*'Hourly Pay Calculator'!$C$9)</f>
        <v/>
      </c>
      <c r="K121" s="44">
        <f>IF(E121="","",E121-N(H121)-N(I121)-J121)</f>
        <v/>
      </c>
      <c r="L121" s="44">
        <f>IF(E121="","",MAX(0,K121)*'Hourly Pay Calculator'!$C$13*'Hourly Pay Calculator'!$C$12)</f>
        <v/>
      </c>
      <c r="M121" s="44">
        <f>IF(E121="","",K121-L121)</f>
        <v/>
      </c>
      <c r="N121" s="45">
        <f>IF(OR(E121="",N(F121)=0),"",M121/F121)</f>
        <v/>
      </c>
      <c r="O121" s="47" t="n"/>
    </row>
    <row r="122">
      <c r="B122" s="46" t="n"/>
      <c r="C122" s="47" t="n"/>
      <c r="D122" s="47" t="n"/>
      <c r="E122" s="48" t="n"/>
      <c r="F122" s="49" t="n"/>
      <c r="G122" s="50" t="n"/>
      <c r="H122" s="48" t="n"/>
      <c r="I122" s="48" t="n"/>
      <c r="J122" s="44">
        <f>IF(E122="","",N(G122)*'Hourly Pay Calculator'!$C$9)</f>
        <v/>
      </c>
      <c r="K122" s="44">
        <f>IF(E122="","",E122-N(H122)-N(I122)-J122)</f>
        <v/>
      </c>
      <c r="L122" s="44">
        <f>IF(E122="","",MAX(0,K122)*'Hourly Pay Calculator'!$C$13*'Hourly Pay Calculator'!$C$12)</f>
        <v/>
      </c>
      <c r="M122" s="44">
        <f>IF(E122="","",K122-L122)</f>
        <v/>
      </c>
      <c r="N122" s="45">
        <f>IF(OR(E122="",N(F122)=0),"",M122/F122)</f>
        <v/>
      </c>
      <c r="O122" s="47" t="n"/>
    </row>
    <row r="123">
      <c r="B123" s="46" t="n"/>
      <c r="C123" s="47" t="n"/>
      <c r="D123" s="47" t="n"/>
      <c r="E123" s="48" t="n"/>
      <c r="F123" s="49" t="n"/>
      <c r="G123" s="50" t="n"/>
      <c r="H123" s="48" t="n"/>
      <c r="I123" s="48" t="n"/>
      <c r="J123" s="44">
        <f>IF(E123="","",N(G123)*'Hourly Pay Calculator'!$C$9)</f>
        <v/>
      </c>
      <c r="K123" s="44">
        <f>IF(E123="","",E123-N(H123)-N(I123)-J123)</f>
        <v/>
      </c>
      <c r="L123" s="44">
        <f>IF(E123="","",MAX(0,K123)*'Hourly Pay Calculator'!$C$13*'Hourly Pay Calculator'!$C$12)</f>
        <v/>
      </c>
      <c r="M123" s="44">
        <f>IF(E123="","",K123-L123)</f>
        <v/>
      </c>
      <c r="N123" s="45">
        <f>IF(OR(E123="",N(F123)=0),"",M123/F123)</f>
        <v/>
      </c>
      <c r="O123" s="47" t="n"/>
    </row>
    <row r="124">
      <c r="B124" s="46" t="n"/>
      <c r="C124" s="47" t="n"/>
      <c r="D124" s="47" t="n"/>
      <c r="E124" s="48" t="n"/>
      <c r="F124" s="49" t="n"/>
      <c r="G124" s="50" t="n"/>
      <c r="H124" s="48" t="n"/>
      <c r="I124" s="48" t="n"/>
      <c r="J124" s="44">
        <f>IF(E124="","",N(G124)*'Hourly Pay Calculator'!$C$9)</f>
        <v/>
      </c>
      <c r="K124" s="44">
        <f>IF(E124="","",E124-N(H124)-N(I124)-J124)</f>
        <v/>
      </c>
      <c r="L124" s="44">
        <f>IF(E124="","",MAX(0,K124)*'Hourly Pay Calculator'!$C$13*'Hourly Pay Calculator'!$C$12)</f>
        <v/>
      </c>
      <c r="M124" s="44">
        <f>IF(E124="","",K124-L124)</f>
        <v/>
      </c>
      <c r="N124" s="45">
        <f>IF(OR(E124="",N(F124)=0),"",M124/F124)</f>
        <v/>
      </c>
      <c r="O124" s="47" t="n"/>
    </row>
    <row r="125">
      <c r="B125" s="46" t="n"/>
      <c r="C125" s="47" t="n"/>
      <c r="D125" s="47" t="n"/>
      <c r="E125" s="48" t="n"/>
      <c r="F125" s="49" t="n"/>
      <c r="G125" s="50" t="n"/>
      <c r="H125" s="48" t="n"/>
      <c r="I125" s="48" t="n"/>
      <c r="J125" s="44">
        <f>IF(E125="","",N(G125)*'Hourly Pay Calculator'!$C$9)</f>
        <v/>
      </c>
      <c r="K125" s="44">
        <f>IF(E125="","",E125-N(H125)-N(I125)-J125)</f>
        <v/>
      </c>
      <c r="L125" s="44">
        <f>IF(E125="","",MAX(0,K125)*'Hourly Pay Calculator'!$C$13*'Hourly Pay Calculator'!$C$12)</f>
        <v/>
      </c>
      <c r="M125" s="44">
        <f>IF(E125="","",K125-L125)</f>
        <v/>
      </c>
      <c r="N125" s="45">
        <f>IF(OR(E125="",N(F125)=0),"",M125/F125)</f>
        <v/>
      </c>
      <c r="O125" s="47" t="n"/>
    </row>
    <row r="126">
      <c r="B126" s="46" t="n"/>
      <c r="C126" s="47" t="n"/>
      <c r="D126" s="47" t="n"/>
      <c r="E126" s="48" t="n"/>
      <c r="F126" s="49" t="n"/>
      <c r="G126" s="50" t="n"/>
      <c r="H126" s="48" t="n"/>
      <c r="I126" s="48" t="n"/>
      <c r="J126" s="44">
        <f>IF(E126="","",N(G126)*'Hourly Pay Calculator'!$C$9)</f>
        <v/>
      </c>
      <c r="K126" s="44">
        <f>IF(E126="","",E126-N(H126)-N(I126)-J126)</f>
        <v/>
      </c>
      <c r="L126" s="44">
        <f>IF(E126="","",MAX(0,K126)*'Hourly Pay Calculator'!$C$13*'Hourly Pay Calculator'!$C$12)</f>
        <v/>
      </c>
      <c r="M126" s="44">
        <f>IF(E126="","",K126-L126)</f>
        <v/>
      </c>
      <c r="N126" s="45">
        <f>IF(OR(E126="",N(F126)=0),"",M126/F126)</f>
        <v/>
      </c>
      <c r="O126" s="47" t="n"/>
    </row>
    <row r="127">
      <c r="B127" s="46" t="n"/>
      <c r="C127" s="47" t="n"/>
      <c r="D127" s="47" t="n"/>
      <c r="E127" s="48" t="n"/>
      <c r="F127" s="49" t="n"/>
      <c r="G127" s="50" t="n"/>
      <c r="H127" s="48" t="n"/>
      <c r="I127" s="48" t="n"/>
      <c r="J127" s="44">
        <f>IF(E127="","",N(G127)*'Hourly Pay Calculator'!$C$9)</f>
        <v/>
      </c>
      <c r="K127" s="44">
        <f>IF(E127="","",E127-N(H127)-N(I127)-J127)</f>
        <v/>
      </c>
      <c r="L127" s="44">
        <f>IF(E127="","",MAX(0,K127)*'Hourly Pay Calculator'!$C$13*'Hourly Pay Calculator'!$C$12)</f>
        <v/>
      </c>
      <c r="M127" s="44">
        <f>IF(E127="","",K127-L127)</f>
        <v/>
      </c>
      <c r="N127" s="45">
        <f>IF(OR(E127="",N(F127)=0),"",M127/F127)</f>
        <v/>
      </c>
      <c r="O127" s="47" t="n"/>
    </row>
    <row r="128">
      <c r="B128" s="46" t="n"/>
      <c r="C128" s="47" t="n"/>
      <c r="D128" s="47" t="n"/>
      <c r="E128" s="48" t="n"/>
      <c r="F128" s="49" t="n"/>
      <c r="G128" s="50" t="n"/>
      <c r="H128" s="48" t="n"/>
      <c r="I128" s="48" t="n"/>
      <c r="J128" s="44">
        <f>IF(E128="","",N(G128)*'Hourly Pay Calculator'!$C$9)</f>
        <v/>
      </c>
      <c r="K128" s="44">
        <f>IF(E128="","",E128-N(H128)-N(I128)-J128)</f>
        <v/>
      </c>
      <c r="L128" s="44">
        <f>IF(E128="","",MAX(0,K128)*'Hourly Pay Calculator'!$C$13*'Hourly Pay Calculator'!$C$12)</f>
        <v/>
      </c>
      <c r="M128" s="44">
        <f>IF(E128="","",K128-L128)</f>
        <v/>
      </c>
      <c r="N128" s="45">
        <f>IF(OR(E128="",N(F128)=0),"",M128/F128)</f>
        <v/>
      </c>
      <c r="O128" s="47" t="n"/>
    </row>
    <row r="129">
      <c r="B129" s="46" t="n"/>
      <c r="C129" s="47" t="n"/>
      <c r="D129" s="47" t="n"/>
      <c r="E129" s="48" t="n"/>
      <c r="F129" s="49" t="n"/>
      <c r="G129" s="50" t="n"/>
      <c r="H129" s="48" t="n"/>
      <c r="I129" s="48" t="n"/>
      <c r="J129" s="44">
        <f>IF(E129="","",N(G129)*'Hourly Pay Calculator'!$C$9)</f>
        <v/>
      </c>
      <c r="K129" s="44">
        <f>IF(E129="","",E129-N(H129)-N(I129)-J129)</f>
        <v/>
      </c>
      <c r="L129" s="44">
        <f>IF(E129="","",MAX(0,K129)*'Hourly Pay Calculator'!$C$13*'Hourly Pay Calculator'!$C$12)</f>
        <v/>
      </c>
      <c r="M129" s="44">
        <f>IF(E129="","",K129-L129)</f>
        <v/>
      </c>
      <c r="N129" s="45">
        <f>IF(OR(E129="",N(F129)=0),"",M129/F129)</f>
        <v/>
      </c>
      <c r="O129" s="47" t="n"/>
    </row>
    <row r="130">
      <c r="B130" s="46" t="n"/>
      <c r="C130" s="47" t="n"/>
      <c r="D130" s="47" t="n"/>
      <c r="E130" s="48" t="n"/>
      <c r="F130" s="49" t="n"/>
      <c r="G130" s="50" t="n"/>
      <c r="H130" s="48" t="n"/>
      <c r="I130" s="48" t="n"/>
      <c r="J130" s="44">
        <f>IF(E130="","",N(G130)*'Hourly Pay Calculator'!$C$9)</f>
        <v/>
      </c>
      <c r="K130" s="44">
        <f>IF(E130="","",E130-N(H130)-N(I130)-J130)</f>
        <v/>
      </c>
      <c r="L130" s="44">
        <f>IF(E130="","",MAX(0,K130)*'Hourly Pay Calculator'!$C$13*'Hourly Pay Calculator'!$C$12)</f>
        <v/>
      </c>
      <c r="M130" s="44">
        <f>IF(E130="","",K130-L130)</f>
        <v/>
      </c>
      <c r="N130" s="45">
        <f>IF(OR(E130="",N(F130)=0),"",M130/F130)</f>
        <v/>
      </c>
      <c r="O130" s="47" t="n"/>
    </row>
    <row r="131">
      <c r="B131" s="46" t="n"/>
      <c r="C131" s="47" t="n"/>
      <c r="D131" s="47" t="n"/>
      <c r="E131" s="48" t="n"/>
      <c r="F131" s="49" t="n"/>
      <c r="G131" s="50" t="n"/>
      <c r="H131" s="48" t="n"/>
      <c r="I131" s="48" t="n"/>
      <c r="J131" s="44">
        <f>IF(E131="","",N(G131)*'Hourly Pay Calculator'!$C$9)</f>
        <v/>
      </c>
      <c r="K131" s="44">
        <f>IF(E131="","",E131-N(H131)-N(I131)-J131)</f>
        <v/>
      </c>
      <c r="L131" s="44">
        <f>IF(E131="","",MAX(0,K131)*'Hourly Pay Calculator'!$C$13*'Hourly Pay Calculator'!$C$12)</f>
        <v/>
      </c>
      <c r="M131" s="44">
        <f>IF(E131="","",K131-L131)</f>
        <v/>
      </c>
      <c r="N131" s="45">
        <f>IF(OR(E131="",N(F131)=0),"",M131/F131)</f>
        <v/>
      </c>
      <c r="O131" s="47" t="n"/>
    </row>
    <row r="132">
      <c r="B132" s="46" t="n"/>
      <c r="C132" s="47" t="n"/>
      <c r="D132" s="47" t="n"/>
      <c r="E132" s="48" t="n"/>
      <c r="F132" s="49" t="n"/>
      <c r="G132" s="50" t="n"/>
      <c r="H132" s="48" t="n"/>
      <c r="I132" s="48" t="n"/>
      <c r="J132" s="44">
        <f>IF(E132="","",N(G132)*'Hourly Pay Calculator'!$C$9)</f>
        <v/>
      </c>
      <c r="K132" s="44">
        <f>IF(E132="","",E132-N(H132)-N(I132)-J132)</f>
        <v/>
      </c>
      <c r="L132" s="44">
        <f>IF(E132="","",MAX(0,K132)*'Hourly Pay Calculator'!$C$13*'Hourly Pay Calculator'!$C$12)</f>
        <v/>
      </c>
      <c r="M132" s="44">
        <f>IF(E132="","",K132-L132)</f>
        <v/>
      </c>
      <c r="N132" s="45">
        <f>IF(OR(E132="",N(F132)=0),"",M132/F132)</f>
        <v/>
      </c>
      <c r="O132" s="47" t="n"/>
    </row>
    <row r="133">
      <c r="B133" s="46" t="n"/>
      <c r="C133" s="47" t="n"/>
      <c r="D133" s="47" t="n"/>
      <c r="E133" s="48" t="n"/>
      <c r="F133" s="49" t="n"/>
      <c r="G133" s="50" t="n"/>
      <c r="H133" s="48" t="n"/>
      <c r="I133" s="48" t="n"/>
      <c r="J133" s="44">
        <f>IF(E133="","",N(G133)*'Hourly Pay Calculator'!$C$9)</f>
        <v/>
      </c>
      <c r="K133" s="44">
        <f>IF(E133="","",E133-N(H133)-N(I133)-J133)</f>
        <v/>
      </c>
      <c r="L133" s="44">
        <f>IF(E133="","",MAX(0,K133)*'Hourly Pay Calculator'!$C$13*'Hourly Pay Calculator'!$C$12)</f>
        <v/>
      </c>
      <c r="M133" s="44">
        <f>IF(E133="","",K133-L133)</f>
        <v/>
      </c>
      <c r="N133" s="45">
        <f>IF(OR(E133="",N(F133)=0),"",M133/F133)</f>
        <v/>
      </c>
      <c r="O133" s="47" t="n"/>
    </row>
    <row r="134">
      <c r="B134" s="46" t="n"/>
      <c r="C134" s="47" t="n"/>
      <c r="D134" s="47" t="n"/>
      <c r="E134" s="48" t="n"/>
      <c r="F134" s="49" t="n"/>
      <c r="G134" s="50" t="n"/>
      <c r="H134" s="48" t="n"/>
      <c r="I134" s="48" t="n"/>
      <c r="J134" s="44">
        <f>IF(E134="","",N(G134)*'Hourly Pay Calculator'!$C$9)</f>
        <v/>
      </c>
      <c r="K134" s="44">
        <f>IF(E134="","",E134-N(H134)-N(I134)-J134)</f>
        <v/>
      </c>
      <c r="L134" s="44">
        <f>IF(E134="","",MAX(0,K134)*'Hourly Pay Calculator'!$C$13*'Hourly Pay Calculator'!$C$12)</f>
        <v/>
      </c>
      <c r="M134" s="44">
        <f>IF(E134="","",K134-L134)</f>
        <v/>
      </c>
      <c r="N134" s="45">
        <f>IF(OR(E134="",N(F134)=0),"",M134/F134)</f>
        <v/>
      </c>
      <c r="O134" s="47" t="n"/>
    </row>
    <row r="135">
      <c r="B135" s="46" t="n"/>
      <c r="C135" s="47" t="n"/>
      <c r="D135" s="47" t="n"/>
      <c r="E135" s="48" t="n"/>
      <c r="F135" s="49" t="n"/>
      <c r="G135" s="50" t="n"/>
      <c r="H135" s="48" t="n"/>
      <c r="I135" s="48" t="n"/>
      <c r="J135" s="44">
        <f>IF(E135="","",N(G135)*'Hourly Pay Calculator'!$C$9)</f>
        <v/>
      </c>
      <c r="K135" s="44">
        <f>IF(E135="","",E135-N(H135)-N(I135)-J135)</f>
        <v/>
      </c>
      <c r="L135" s="44">
        <f>IF(E135="","",MAX(0,K135)*'Hourly Pay Calculator'!$C$13*'Hourly Pay Calculator'!$C$12)</f>
        <v/>
      </c>
      <c r="M135" s="44">
        <f>IF(E135="","",K135-L135)</f>
        <v/>
      </c>
      <c r="N135" s="45">
        <f>IF(OR(E135="",N(F135)=0),"",M135/F135)</f>
        <v/>
      </c>
      <c r="O135" s="47" t="n"/>
    </row>
    <row r="136">
      <c r="B136" s="46" t="n"/>
      <c r="C136" s="47" t="n"/>
      <c r="D136" s="47" t="n"/>
      <c r="E136" s="48" t="n"/>
      <c r="F136" s="49" t="n"/>
      <c r="G136" s="50" t="n"/>
      <c r="H136" s="48" t="n"/>
      <c r="I136" s="48" t="n"/>
      <c r="J136" s="44">
        <f>IF(E136="","",N(G136)*'Hourly Pay Calculator'!$C$9)</f>
        <v/>
      </c>
      <c r="K136" s="44">
        <f>IF(E136="","",E136-N(H136)-N(I136)-J136)</f>
        <v/>
      </c>
      <c r="L136" s="44">
        <f>IF(E136="","",MAX(0,K136)*'Hourly Pay Calculator'!$C$13*'Hourly Pay Calculator'!$C$12)</f>
        <v/>
      </c>
      <c r="M136" s="44">
        <f>IF(E136="","",K136-L136)</f>
        <v/>
      </c>
      <c r="N136" s="45">
        <f>IF(OR(E136="",N(F136)=0),"",M136/F136)</f>
        <v/>
      </c>
      <c r="O136" s="47" t="n"/>
    </row>
    <row r="137">
      <c r="B137" s="46" t="n"/>
      <c r="C137" s="47" t="n"/>
      <c r="D137" s="47" t="n"/>
      <c r="E137" s="48" t="n"/>
      <c r="F137" s="49" t="n"/>
      <c r="G137" s="50" t="n"/>
      <c r="H137" s="48" t="n"/>
      <c r="I137" s="48" t="n"/>
      <c r="J137" s="44">
        <f>IF(E137="","",N(G137)*'Hourly Pay Calculator'!$C$9)</f>
        <v/>
      </c>
      <c r="K137" s="44">
        <f>IF(E137="","",E137-N(H137)-N(I137)-J137)</f>
        <v/>
      </c>
      <c r="L137" s="44">
        <f>IF(E137="","",MAX(0,K137)*'Hourly Pay Calculator'!$C$13*'Hourly Pay Calculator'!$C$12)</f>
        <v/>
      </c>
      <c r="M137" s="44">
        <f>IF(E137="","",K137-L137)</f>
        <v/>
      </c>
      <c r="N137" s="45">
        <f>IF(OR(E137="",N(F137)=0),"",M137/F137)</f>
        <v/>
      </c>
      <c r="O137" s="47" t="n"/>
    </row>
    <row r="138">
      <c r="B138" s="46" t="n"/>
      <c r="C138" s="47" t="n"/>
      <c r="D138" s="47" t="n"/>
      <c r="E138" s="48" t="n"/>
      <c r="F138" s="49" t="n"/>
      <c r="G138" s="50" t="n"/>
      <c r="H138" s="48" t="n"/>
      <c r="I138" s="48" t="n"/>
      <c r="J138" s="44">
        <f>IF(E138="","",N(G138)*'Hourly Pay Calculator'!$C$9)</f>
        <v/>
      </c>
      <c r="K138" s="44">
        <f>IF(E138="","",E138-N(H138)-N(I138)-J138)</f>
        <v/>
      </c>
      <c r="L138" s="44">
        <f>IF(E138="","",MAX(0,K138)*'Hourly Pay Calculator'!$C$13*'Hourly Pay Calculator'!$C$12)</f>
        <v/>
      </c>
      <c r="M138" s="44">
        <f>IF(E138="","",K138-L138)</f>
        <v/>
      </c>
      <c r="N138" s="45">
        <f>IF(OR(E138="",N(F138)=0),"",M138/F138)</f>
        <v/>
      </c>
      <c r="O138" s="47" t="n"/>
    </row>
    <row r="139">
      <c r="B139" s="46" t="n"/>
      <c r="C139" s="47" t="n"/>
      <c r="D139" s="47" t="n"/>
      <c r="E139" s="48" t="n"/>
      <c r="F139" s="49" t="n"/>
      <c r="G139" s="50" t="n"/>
      <c r="H139" s="48" t="n"/>
      <c r="I139" s="48" t="n"/>
      <c r="J139" s="44">
        <f>IF(E139="","",N(G139)*'Hourly Pay Calculator'!$C$9)</f>
        <v/>
      </c>
      <c r="K139" s="44">
        <f>IF(E139="","",E139-N(H139)-N(I139)-J139)</f>
        <v/>
      </c>
      <c r="L139" s="44">
        <f>IF(E139="","",MAX(0,K139)*'Hourly Pay Calculator'!$C$13*'Hourly Pay Calculator'!$C$12)</f>
        <v/>
      </c>
      <c r="M139" s="44">
        <f>IF(E139="","",K139-L139)</f>
        <v/>
      </c>
      <c r="N139" s="45">
        <f>IF(OR(E139="",N(F139)=0),"",M139/F139)</f>
        <v/>
      </c>
      <c r="O139" s="47" t="n"/>
    </row>
    <row r="140">
      <c r="B140" s="46" t="n"/>
      <c r="C140" s="47" t="n"/>
      <c r="D140" s="47" t="n"/>
      <c r="E140" s="48" t="n"/>
      <c r="F140" s="49" t="n"/>
      <c r="G140" s="50" t="n"/>
      <c r="H140" s="48" t="n"/>
      <c r="I140" s="48" t="n"/>
      <c r="J140" s="44">
        <f>IF(E140="","",N(G140)*'Hourly Pay Calculator'!$C$9)</f>
        <v/>
      </c>
      <c r="K140" s="44">
        <f>IF(E140="","",E140-N(H140)-N(I140)-J140)</f>
        <v/>
      </c>
      <c r="L140" s="44">
        <f>IF(E140="","",MAX(0,K140)*'Hourly Pay Calculator'!$C$13*'Hourly Pay Calculator'!$C$12)</f>
        <v/>
      </c>
      <c r="M140" s="44">
        <f>IF(E140="","",K140-L140)</f>
        <v/>
      </c>
      <c r="N140" s="45">
        <f>IF(OR(E140="",N(F140)=0),"",M140/F140)</f>
        <v/>
      </c>
      <c r="O140" s="47" t="n"/>
    </row>
    <row r="141">
      <c r="B141" s="46" t="n"/>
      <c r="C141" s="47" t="n"/>
      <c r="D141" s="47" t="n"/>
      <c r="E141" s="48" t="n"/>
      <c r="F141" s="49" t="n"/>
      <c r="G141" s="50" t="n"/>
      <c r="H141" s="48" t="n"/>
      <c r="I141" s="48" t="n"/>
      <c r="J141" s="44">
        <f>IF(E141="","",N(G141)*'Hourly Pay Calculator'!$C$9)</f>
        <v/>
      </c>
      <c r="K141" s="44">
        <f>IF(E141="","",E141-N(H141)-N(I141)-J141)</f>
        <v/>
      </c>
      <c r="L141" s="44">
        <f>IF(E141="","",MAX(0,K141)*'Hourly Pay Calculator'!$C$13*'Hourly Pay Calculator'!$C$12)</f>
        <v/>
      </c>
      <c r="M141" s="44">
        <f>IF(E141="","",K141-L141)</f>
        <v/>
      </c>
      <c r="N141" s="45">
        <f>IF(OR(E141="",N(F141)=0),"",M141/F141)</f>
        <v/>
      </c>
      <c r="O141" s="47" t="n"/>
    </row>
    <row r="142">
      <c r="B142" s="46" t="n"/>
      <c r="C142" s="47" t="n"/>
      <c r="D142" s="47" t="n"/>
      <c r="E142" s="48" t="n"/>
      <c r="F142" s="49" t="n"/>
      <c r="G142" s="50" t="n"/>
      <c r="H142" s="48" t="n"/>
      <c r="I142" s="48" t="n"/>
      <c r="J142" s="44">
        <f>IF(E142="","",N(G142)*'Hourly Pay Calculator'!$C$9)</f>
        <v/>
      </c>
      <c r="K142" s="44">
        <f>IF(E142="","",E142-N(H142)-N(I142)-J142)</f>
        <v/>
      </c>
      <c r="L142" s="44">
        <f>IF(E142="","",MAX(0,K142)*'Hourly Pay Calculator'!$C$13*'Hourly Pay Calculator'!$C$12)</f>
        <v/>
      </c>
      <c r="M142" s="44">
        <f>IF(E142="","",K142-L142)</f>
        <v/>
      </c>
      <c r="N142" s="45">
        <f>IF(OR(E142="",N(F142)=0),"",M142/F142)</f>
        <v/>
      </c>
      <c r="O142" s="47" t="n"/>
    </row>
    <row r="143">
      <c r="B143" s="46" t="n"/>
      <c r="C143" s="47" t="n"/>
      <c r="D143" s="47" t="n"/>
      <c r="E143" s="48" t="n"/>
      <c r="F143" s="49" t="n"/>
      <c r="G143" s="50" t="n"/>
      <c r="H143" s="48" t="n"/>
      <c r="I143" s="48" t="n"/>
      <c r="J143" s="44">
        <f>IF(E143="","",N(G143)*'Hourly Pay Calculator'!$C$9)</f>
        <v/>
      </c>
      <c r="K143" s="44">
        <f>IF(E143="","",E143-N(H143)-N(I143)-J143)</f>
        <v/>
      </c>
      <c r="L143" s="44">
        <f>IF(E143="","",MAX(0,K143)*'Hourly Pay Calculator'!$C$13*'Hourly Pay Calculator'!$C$12)</f>
        <v/>
      </c>
      <c r="M143" s="44">
        <f>IF(E143="","",K143-L143)</f>
        <v/>
      </c>
      <c r="N143" s="45">
        <f>IF(OR(E143="",N(F143)=0),"",M143/F143)</f>
        <v/>
      </c>
      <c r="O143" s="47" t="n"/>
    </row>
    <row r="144">
      <c r="B144" s="46" t="n"/>
      <c r="C144" s="47" t="n"/>
      <c r="D144" s="47" t="n"/>
      <c r="E144" s="48" t="n"/>
      <c r="F144" s="49" t="n"/>
      <c r="G144" s="50" t="n"/>
      <c r="H144" s="48" t="n"/>
      <c r="I144" s="48" t="n"/>
      <c r="J144" s="44">
        <f>IF(E144="","",N(G144)*'Hourly Pay Calculator'!$C$9)</f>
        <v/>
      </c>
      <c r="K144" s="44">
        <f>IF(E144="","",E144-N(H144)-N(I144)-J144)</f>
        <v/>
      </c>
      <c r="L144" s="44">
        <f>IF(E144="","",MAX(0,K144)*'Hourly Pay Calculator'!$C$13*'Hourly Pay Calculator'!$C$12)</f>
        <v/>
      </c>
      <c r="M144" s="44">
        <f>IF(E144="","",K144-L144)</f>
        <v/>
      </c>
      <c r="N144" s="45">
        <f>IF(OR(E144="",N(F144)=0),"",M144/F144)</f>
        <v/>
      </c>
      <c r="O144" s="47" t="n"/>
    </row>
    <row r="145">
      <c r="B145" s="46" t="n"/>
      <c r="C145" s="47" t="n"/>
      <c r="D145" s="47" t="n"/>
      <c r="E145" s="48" t="n"/>
      <c r="F145" s="49" t="n"/>
      <c r="G145" s="50" t="n"/>
      <c r="H145" s="48" t="n"/>
      <c r="I145" s="48" t="n"/>
      <c r="J145" s="44">
        <f>IF(E145="","",N(G145)*'Hourly Pay Calculator'!$C$9)</f>
        <v/>
      </c>
      <c r="K145" s="44">
        <f>IF(E145="","",E145-N(H145)-N(I145)-J145)</f>
        <v/>
      </c>
      <c r="L145" s="44">
        <f>IF(E145="","",MAX(0,K145)*'Hourly Pay Calculator'!$C$13*'Hourly Pay Calculator'!$C$12)</f>
        <v/>
      </c>
      <c r="M145" s="44">
        <f>IF(E145="","",K145-L145)</f>
        <v/>
      </c>
      <c r="N145" s="45">
        <f>IF(OR(E145="",N(F145)=0),"",M145/F145)</f>
        <v/>
      </c>
      <c r="O145" s="47" t="n"/>
    </row>
    <row r="146">
      <c r="B146" s="46" t="n"/>
      <c r="C146" s="47" t="n"/>
      <c r="D146" s="47" t="n"/>
      <c r="E146" s="48" t="n"/>
      <c r="F146" s="49" t="n"/>
      <c r="G146" s="50" t="n"/>
      <c r="H146" s="48" t="n"/>
      <c r="I146" s="48" t="n"/>
      <c r="J146" s="44">
        <f>IF(E146="","",N(G146)*'Hourly Pay Calculator'!$C$9)</f>
        <v/>
      </c>
      <c r="K146" s="44">
        <f>IF(E146="","",E146-N(H146)-N(I146)-J146)</f>
        <v/>
      </c>
      <c r="L146" s="44">
        <f>IF(E146="","",MAX(0,K146)*'Hourly Pay Calculator'!$C$13*'Hourly Pay Calculator'!$C$12)</f>
        <v/>
      </c>
      <c r="M146" s="44">
        <f>IF(E146="","",K146-L146)</f>
        <v/>
      </c>
      <c r="N146" s="45">
        <f>IF(OR(E146="",N(F146)=0),"",M146/F146)</f>
        <v/>
      </c>
      <c r="O146" s="47" t="n"/>
    </row>
    <row r="147">
      <c r="B147" s="46" t="n"/>
      <c r="C147" s="47" t="n"/>
      <c r="D147" s="47" t="n"/>
      <c r="E147" s="48" t="n"/>
      <c r="F147" s="49" t="n"/>
      <c r="G147" s="50" t="n"/>
      <c r="H147" s="48" t="n"/>
      <c r="I147" s="48" t="n"/>
      <c r="J147" s="44">
        <f>IF(E147="","",N(G147)*'Hourly Pay Calculator'!$C$9)</f>
        <v/>
      </c>
      <c r="K147" s="44">
        <f>IF(E147="","",E147-N(H147)-N(I147)-J147)</f>
        <v/>
      </c>
      <c r="L147" s="44">
        <f>IF(E147="","",MAX(0,K147)*'Hourly Pay Calculator'!$C$13*'Hourly Pay Calculator'!$C$12)</f>
        <v/>
      </c>
      <c r="M147" s="44">
        <f>IF(E147="","",K147-L147)</f>
        <v/>
      </c>
      <c r="N147" s="45">
        <f>IF(OR(E147="",N(F147)=0),"",M147/F147)</f>
        <v/>
      </c>
      <c r="O147" s="47" t="n"/>
    </row>
    <row r="148">
      <c r="B148" s="46" t="n"/>
      <c r="C148" s="47" t="n"/>
      <c r="D148" s="47" t="n"/>
      <c r="E148" s="48" t="n"/>
      <c r="F148" s="49" t="n"/>
      <c r="G148" s="50" t="n"/>
      <c r="H148" s="48" t="n"/>
      <c r="I148" s="48" t="n"/>
      <c r="J148" s="44">
        <f>IF(E148="","",N(G148)*'Hourly Pay Calculator'!$C$9)</f>
        <v/>
      </c>
      <c r="K148" s="44">
        <f>IF(E148="","",E148-N(H148)-N(I148)-J148)</f>
        <v/>
      </c>
      <c r="L148" s="44">
        <f>IF(E148="","",MAX(0,K148)*'Hourly Pay Calculator'!$C$13*'Hourly Pay Calculator'!$C$12)</f>
        <v/>
      </c>
      <c r="M148" s="44">
        <f>IF(E148="","",K148-L148)</f>
        <v/>
      </c>
      <c r="N148" s="45">
        <f>IF(OR(E148="",N(F148)=0),"",M148/F148)</f>
        <v/>
      </c>
      <c r="O148" s="47" t="n"/>
    </row>
    <row r="149">
      <c r="B149" s="46" t="n"/>
      <c r="C149" s="47" t="n"/>
      <c r="D149" s="47" t="n"/>
      <c r="E149" s="48" t="n"/>
      <c r="F149" s="49" t="n"/>
      <c r="G149" s="50" t="n"/>
      <c r="H149" s="48" t="n"/>
      <c r="I149" s="48" t="n"/>
      <c r="J149" s="44">
        <f>IF(E149="","",N(G149)*'Hourly Pay Calculator'!$C$9)</f>
        <v/>
      </c>
      <c r="K149" s="44">
        <f>IF(E149="","",E149-N(H149)-N(I149)-J149)</f>
        <v/>
      </c>
      <c r="L149" s="44">
        <f>IF(E149="","",MAX(0,K149)*'Hourly Pay Calculator'!$C$13*'Hourly Pay Calculator'!$C$12)</f>
        <v/>
      </c>
      <c r="M149" s="44">
        <f>IF(E149="","",K149-L149)</f>
        <v/>
      </c>
      <c r="N149" s="45">
        <f>IF(OR(E149="",N(F149)=0),"",M149/F149)</f>
        <v/>
      </c>
      <c r="O149" s="47" t="n"/>
    </row>
    <row r="150">
      <c r="B150" s="46" t="n"/>
      <c r="C150" s="47" t="n"/>
      <c r="D150" s="47" t="n"/>
      <c r="E150" s="48" t="n"/>
      <c r="F150" s="49" t="n"/>
      <c r="G150" s="50" t="n"/>
      <c r="H150" s="48" t="n"/>
      <c r="I150" s="48" t="n"/>
      <c r="J150" s="44">
        <f>IF(E150="","",N(G150)*'Hourly Pay Calculator'!$C$9)</f>
        <v/>
      </c>
      <c r="K150" s="44">
        <f>IF(E150="","",E150-N(H150)-N(I150)-J150)</f>
        <v/>
      </c>
      <c r="L150" s="44">
        <f>IF(E150="","",MAX(0,K150)*'Hourly Pay Calculator'!$C$13*'Hourly Pay Calculator'!$C$12)</f>
        <v/>
      </c>
      <c r="M150" s="44">
        <f>IF(E150="","",K150-L150)</f>
        <v/>
      </c>
      <c r="N150" s="45">
        <f>IF(OR(E150="",N(F150)=0),"",M150/F150)</f>
        <v/>
      </c>
      <c r="O150" s="47" t="n"/>
    </row>
    <row r="151">
      <c r="B151" s="46" t="n"/>
      <c r="C151" s="47" t="n"/>
      <c r="D151" s="47" t="n"/>
      <c r="E151" s="48" t="n"/>
      <c r="F151" s="49" t="n"/>
      <c r="G151" s="50" t="n"/>
      <c r="H151" s="48" t="n"/>
      <c r="I151" s="48" t="n"/>
      <c r="J151" s="44">
        <f>IF(E151="","",N(G151)*'Hourly Pay Calculator'!$C$9)</f>
        <v/>
      </c>
      <c r="K151" s="44">
        <f>IF(E151="","",E151-N(H151)-N(I151)-J151)</f>
        <v/>
      </c>
      <c r="L151" s="44">
        <f>IF(E151="","",MAX(0,K151)*'Hourly Pay Calculator'!$C$13*'Hourly Pay Calculator'!$C$12)</f>
        <v/>
      </c>
      <c r="M151" s="44">
        <f>IF(E151="","",K151-L151)</f>
        <v/>
      </c>
      <c r="N151" s="45">
        <f>IF(OR(E151="",N(F151)=0),"",M151/F151)</f>
        <v/>
      </c>
      <c r="O151" s="47" t="n"/>
    </row>
    <row r="152">
      <c r="B152" s="46" t="n"/>
      <c r="C152" s="47" t="n"/>
      <c r="D152" s="47" t="n"/>
      <c r="E152" s="48" t="n"/>
      <c r="F152" s="49" t="n"/>
      <c r="G152" s="50" t="n"/>
      <c r="H152" s="48" t="n"/>
      <c r="I152" s="48" t="n"/>
      <c r="J152" s="44">
        <f>IF(E152="","",N(G152)*'Hourly Pay Calculator'!$C$9)</f>
        <v/>
      </c>
      <c r="K152" s="44">
        <f>IF(E152="","",E152-N(H152)-N(I152)-J152)</f>
        <v/>
      </c>
      <c r="L152" s="44">
        <f>IF(E152="","",MAX(0,K152)*'Hourly Pay Calculator'!$C$13*'Hourly Pay Calculator'!$C$12)</f>
        <v/>
      </c>
      <c r="M152" s="44">
        <f>IF(E152="","",K152-L152)</f>
        <v/>
      </c>
      <c r="N152" s="45">
        <f>IF(OR(E152="",N(F152)=0),"",M152/F152)</f>
        <v/>
      </c>
      <c r="O152" s="47" t="n"/>
    </row>
    <row r="153">
      <c r="B153" s="46" t="n"/>
      <c r="C153" s="47" t="n"/>
      <c r="D153" s="47" t="n"/>
      <c r="E153" s="48" t="n"/>
      <c r="F153" s="49" t="n"/>
      <c r="G153" s="50" t="n"/>
      <c r="H153" s="48" t="n"/>
      <c r="I153" s="48" t="n"/>
      <c r="J153" s="44">
        <f>IF(E153="","",N(G153)*'Hourly Pay Calculator'!$C$9)</f>
        <v/>
      </c>
      <c r="K153" s="44">
        <f>IF(E153="","",E153-N(H153)-N(I153)-J153)</f>
        <v/>
      </c>
      <c r="L153" s="44">
        <f>IF(E153="","",MAX(0,K153)*'Hourly Pay Calculator'!$C$13*'Hourly Pay Calculator'!$C$12)</f>
        <v/>
      </c>
      <c r="M153" s="44">
        <f>IF(E153="","",K153-L153)</f>
        <v/>
      </c>
      <c r="N153" s="45">
        <f>IF(OR(E153="",N(F153)=0),"",M153/F153)</f>
        <v/>
      </c>
      <c r="O153" s="47" t="n"/>
    </row>
    <row r="154">
      <c r="B154" s="46" t="n"/>
      <c r="C154" s="47" t="n"/>
      <c r="D154" s="47" t="n"/>
      <c r="E154" s="48" t="n"/>
      <c r="F154" s="49" t="n"/>
      <c r="G154" s="50" t="n"/>
      <c r="H154" s="48" t="n"/>
      <c r="I154" s="48" t="n"/>
      <c r="J154" s="44">
        <f>IF(E154="","",N(G154)*'Hourly Pay Calculator'!$C$9)</f>
        <v/>
      </c>
      <c r="K154" s="44">
        <f>IF(E154="","",E154-N(H154)-N(I154)-J154)</f>
        <v/>
      </c>
      <c r="L154" s="44">
        <f>IF(E154="","",MAX(0,K154)*'Hourly Pay Calculator'!$C$13*'Hourly Pay Calculator'!$C$12)</f>
        <v/>
      </c>
      <c r="M154" s="44">
        <f>IF(E154="","",K154-L154)</f>
        <v/>
      </c>
      <c r="N154" s="45">
        <f>IF(OR(E154="",N(F154)=0),"",M154/F154)</f>
        <v/>
      </c>
      <c r="O154" s="47" t="n"/>
    </row>
    <row r="155">
      <c r="B155" s="46" t="n"/>
      <c r="C155" s="47" t="n"/>
      <c r="D155" s="47" t="n"/>
      <c r="E155" s="48" t="n"/>
      <c r="F155" s="49" t="n"/>
      <c r="G155" s="50" t="n"/>
      <c r="H155" s="48" t="n"/>
      <c r="I155" s="48" t="n"/>
      <c r="J155" s="44">
        <f>IF(E155="","",N(G155)*'Hourly Pay Calculator'!$C$9)</f>
        <v/>
      </c>
      <c r="K155" s="44">
        <f>IF(E155="","",E155-N(H155)-N(I155)-J155)</f>
        <v/>
      </c>
      <c r="L155" s="44">
        <f>IF(E155="","",MAX(0,K155)*'Hourly Pay Calculator'!$C$13*'Hourly Pay Calculator'!$C$12)</f>
        <v/>
      </c>
      <c r="M155" s="44">
        <f>IF(E155="","",K155-L155)</f>
        <v/>
      </c>
      <c r="N155" s="45">
        <f>IF(OR(E155="",N(F155)=0),"",M155/F155)</f>
        <v/>
      </c>
      <c r="O155" s="47" t="n"/>
    </row>
    <row r="156">
      <c r="B156" s="46" t="n"/>
      <c r="C156" s="47" t="n"/>
      <c r="D156" s="47" t="n"/>
      <c r="E156" s="48" t="n"/>
      <c r="F156" s="49" t="n"/>
      <c r="G156" s="50" t="n"/>
      <c r="H156" s="48" t="n"/>
      <c r="I156" s="48" t="n"/>
      <c r="J156" s="44">
        <f>IF(E156="","",N(G156)*'Hourly Pay Calculator'!$C$9)</f>
        <v/>
      </c>
      <c r="K156" s="44">
        <f>IF(E156="","",E156-N(H156)-N(I156)-J156)</f>
        <v/>
      </c>
      <c r="L156" s="44">
        <f>IF(E156="","",MAX(0,K156)*'Hourly Pay Calculator'!$C$13*'Hourly Pay Calculator'!$C$12)</f>
        <v/>
      </c>
      <c r="M156" s="44">
        <f>IF(E156="","",K156-L156)</f>
        <v/>
      </c>
      <c r="N156" s="45">
        <f>IF(OR(E156="",N(F156)=0),"",M156/F156)</f>
        <v/>
      </c>
      <c r="O156" s="47" t="n"/>
    </row>
    <row r="157">
      <c r="B157" s="46" t="n"/>
      <c r="C157" s="47" t="n"/>
      <c r="D157" s="47" t="n"/>
      <c r="E157" s="48" t="n"/>
      <c r="F157" s="49" t="n"/>
      <c r="G157" s="50" t="n"/>
      <c r="H157" s="48" t="n"/>
      <c r="I157" s="48" t="n"/>
      <c r="J157" s="44">
        <f>IF(E157="","",N(G157)*'Hourly Pay Calculator'!$C$9)</f>
        <v/>
      </c>
      <c r="K157" s="44">
        <f>IF(E157="","",E157-N(H157)-N(I157)-J157)</f>
        <v/>
      </c>
      <c r="L157" s="44">
        <f>IF(E157="","",MAX(0,K157)*'Hourly Pay Calculator'!$C$13*'Hourly Pay Calculator'!$C$12)</f>
        <v/>
      </c>
      <c r="M157" s="44">
        <f>IF(E157="","",K157-L157)</f>
        <v/>
      </c>
      <c r="N157" s="45">
        <f>IF(OR(E157="",N(F157)=0),"",M157/F157)</f>
        <v/>
      </c>
      <c r="O157" s="47" t="n"/>
    </row>
    <row r="158">
      <c r="B158" s="46" t="n"/>
      <c r="C158" s="47" t="n"/>
      <c r="D158" s="47" t="n"/>
      <c r="E158" s="48" t="n"/>
      <c r="F158" s="49" t="n"/>
      <c r="G158" s="50" t="n"/>
      <c r="H158" s="48" t="n"/>
      <c r="I158" s="48" t="n"/>
      <c r="J158" s="44">
        <f>IF(E158="","",N(G158)*'Hourly Pay Calculator'!$C$9)</f>
        <v/>
      </c>
      <c r="K158" s="44">
        <f>IF(E158="","",E158-N(H158)-N(I158)-J158)</f>
        <v/>
      </c>
      <c r="L158" s="44">
        <f>IF(E158="","",MAX(0,K158)*'Hourly Pay Calculator'!$C$13*'Hourly Pay Calculator'!$C$12)</f>
        <v/>
      </c>
      <c r="M158" s="44">
        <f>IF(E158="","",K158-L158)</f>
        <v/>
      </c>
      <c r="N158" s="45">
        <f>IF(OR(E158="",N(F158)=0),"",M158/F158)</f>
        <v/>
      </c>
      <c r="O158" s="47" t="n"/>
    </row>
    <row r="159">
      <c r="B159" s="46" t="n"/>
      <c r="C159" s="47" t="n"/>
      <c r="D159" s="47" t="n"/>
      <c r="E159" s="48" t="n"/>
      <c r="F159" s="49" t="n"/>
      <c r="G159" s="50" t="n"/>
      <c r="H159" s="48" t="n"/>
      <c r="I159" s="48" t="n"/>
      <c r="J159" s="44">
        <f>IF(E159="","",N(G159)*'Hourly Pay Calculator'!$C$9)</f>
        <v/>
      </c>
      <c r="K159" s="44">
        <f>IF(E159="","",E159-N(H159)-N(I159)-J159)</f>
        <v/>
      </c>
      <c r="L159" s="44">
        <f>IF(E159="","",MAX(0,K159)*'Hourly Pay Calculator'!$C$13*'Hourly Pay Calculator'!$C$12)</f>
        <v/>
      </c>
      <c r="M159" s="44">
        <f>IF(E159="","",K159-L159)</f>
        <v/>
      </c>
      <c r="N159" s="45">
        <f>IF(OR(E159="",N(F159)=0),"",M159/F159)</f>
        <v/>
      </c>
      <c r="O159" s="47" t="n"/>
    </row>
    <row r="160">
      <c r="B160" s="46" t="n"/>
      <c r="C160" s="47" t="n"/>
      <c r="D160" s="47" t="n"/>
      <c r="E160" s="48" t="n"/>
      <c r="F160" s="49" t="n"/>
      <c r="G160" s="50" t="n"/>
      <c r="H160" s="48" t="n"/>
      <c r="I160" s="48" t="n"/>
      <c r="J160" s="44">
        <f>IF(E160="","",N(G160)*'Hourly Pay Calculator'!$C$9)</f>
        <v/>
      </c>
      <c r="K160" s="44">
        <f>IF(E160="","",E160-N(H160)-N(I160)-J160)</f>
        <v/>
      </c>
      <c r="L160" s="44">
        <f>IF(E160="","",MAX(0,K160)*'Hourly Pay Calculator'!$C$13*'Hourly Pay Calculator'!$C$12)</f>
        <v/>
      </c>
      <c r="M160" s="44">
        <f>IF(E160="","",K160-L160)</f>
        <v/>
      </c>
      <c r="N160" s="45">
        <f>IF(OR(E160="",N(F160)=0),"",M160/F160)</f>
        <v/>
      </c>
      <c r="O160" s="47" t="n"/>
    </row>
    <row r="161">
      <c r="B161" s="46" t="n"/>
      <c r="C161" s="47" t="n"/>
      <c r="D161" s="47" t="n"/>
      <c r="E161" s="48" t="n"/>
      <c r="F161" s="49" t="n"/>
      <c r="G161" s="50" t="n"/>
      <c r="H161" s="48" t="n"/>
      <c r="I161" s="48" t="n"/>
      <c r="J161" s="44">
        <f>IF(E161="","",N(G161)*'Hourly Pay Calculator'!$C$9)</f>
        <v/>
      </c>
      <c r="K161" s="44">
        <f>IF(E161="","",E161-N(H161)-N(I161)-J161)</f>
        <v/>
      </c>
      <c r="L161" s="44">
        <f>IF(E161="","",MAX(0,K161)*'Hourly Pay Calculator'!$C$13*'Hourly Pay Calculator'!$C$12)</f>
        <v/>
      </c>
      <c r="M161" s="44">
        <f>IF(E161="","",K161-L161)</f>
        <v/>
      </c>
      <c r="N161" s="45">
        <f>IF(OR(E161="",N(F161)=0),"",M161/F161)</f>
        <v/>
      </c>
      <c r="O161" s="47" t="n"/>
    </row>
    <row r="162">
      <c r="B162" s="46" t="n"/>
      <c r="C162" s="47" t="n"/>
      <c r="D162" s="47" t="n"/>
      <c r="E162" s="48" t="n"/>
      <c r="F162" s="49" t="n"/>
      <c r="G162" s="50" t="n"/>
      <c r="H162" s="48" t="n"/>
      <c r="I162" s="48" t="n"/>
      <c r="J162" s="44">
        <f>IF(E162="","",N(G162)*'Hourly Pay Calculator'!$C$9)</f>
        <v/>
      </c>
      <c r="K162" s="44">
        <f>IF(E162="","",E162-N(H162)-N(I162)-J162)</f>
        <v/>
      </c>
      <c r="L162" s="44">
        <f>IF(E162="","",MAX(0,K162)*'Hourly Pay Calculator'!$C$13*'Hourly Pay Calculator'!$C$12)</f>
        <v/>
      </c>
      <c r="M162" s="44">
        <f>IF(E162="","",K162-L162)</f>
        <v/>
      </c>
      <c r="N162" s="45">
        <f>IF(OR(E162="",N(F162)=0),"",M162/F162)</f>
        <v/>
      </c>
      <c r="O162" s="47" t="n"/>
    </row>
    <row r="163">
      <c r="B163" s="46" t="n"/>
      <c r="C163" s="47" t="n"/>
      <c r="D163" s="47" t="n"/>
      <c r="E163" s="48" t="n"/>
      <c r="F163" s="49" t="n"/>
      <c r="G163" s="50" t="n"/>
      <c r="H163" s="48" t="n"/>
      <c r="I163" s="48" t="n"/>
      <c r="J163" s="44">
        <f>IF(E163="","",N(G163)*'Hourly Pay Calculator'!$C$9)</f>
        <v/>
      </c>
      <c r="K163" s="44">
        <f>IF(E163="","",E163-N(H163)-N(I163)-J163)</f>
        <v/>
      </c>
      <c r="L163" s="44">
        <f>IF(E163="","",MAX(0,K163)*'Hourly Pay Calculator'!$C$13*'Hourly Pay Calculator'!$C$12)</f>
        <v/>
      </c>
      <c r="M163" s="44">
        <f>IF(E163="","",K163-L163)</f>
        <v/>
      </c>
      <c r="N163" s="45">
        <f>IF(OR(E163="",N(F163)=0),"",M163/F163)</f>
        <v/>
      </c>
      <c r="O163" s="47" t="n"/>
    </row>
    <row r="164">
      <c r="B164" s="46" t="n"/>
      <c r="C164" s="47" t="n"/>
      <c r="D164" s="47" t="n"/>
      <c r="E164" s="48" t="n"/>
      <c r="F164" s="49" t="n"/>
      <c r="G164" s="50" t="n"/>
      <c r="H164" s="48" t="n"/>
      <c r="I164" s="48" t="n"/>
      <c r="J164" s="44">
        <f>IF(E164="","",N(G164)*'Hourly Pay Calculator'!$C$9)</f>
        <v/>
      </c>
      <c r="K164" s="44">
        <f>IF(E164="","",E164-N(H164)-N(I164)-J164)</f>
        <v/>
      </c>
      <c r="L164" s="44">
        <f>IF(E164="","",MAX(0,K164)*'Hourly Pay Calculator'!$C$13*'Hourly Pay Calculator'!$C$12)</f>
        <v/>
      </c>
      <c r="M164" s="44">
        <f>IF(E164="","",K164-L164)</f>
        <v/>
      </c>
      <c r="N164" s="45">
        <f>IF(OR(E164="",N(F164)=0),"",M164/F164)</f>
        <v/>
      </c>
      <c r="O164" s="47" t="n"/>
    </row>
    <row r="165">
      <c r="B165" s="46" t="n"/>
      <c r="C165" s="47" t="n"/>
      <c r="D165" s="47" t="n"/>
      <c r="E165" s="48" t="n"/>
      <c r="F165" s="49" t="n"/>
      <c r="G165" s="50" t="n"/>
      <c r="H165" s="48" t="n"/>
      <c r="I165" s="48" t="n"/>
      <c r="J165" s="44">
        <f>IF(E165="","",N(G165)*'Hourly Pay Calculator'!$C$9)</f>
        <v/>
      </c>
      <c r="K165" s="44">
        <f>IF(E165="","",E165-N(H165)-N(I165)-J165)</f>
        <v/>
      </c>
      <c r="L165" s="44">
        <f>IF(E165="","",MAX(0,K165)*'Hourly Pay Calculator'!$C$13*'Hourly Pay Calculator'!$C$12)</f>
        <v/>
      </c>
      <c r="M165" s="44">
        <f>IF(E165="","",K165-L165)</f>
        <v/>
      </c>
      <c r="N165" s="45">
        <f>IF(OR(E165="",N(F165)=0),"",M165/F165)</f>
        <v/>
      </c>
      <c r="O165" s="47" t="n"/>
    </row>
    <row r="166">
      <c r="B166" s="46" t="n"/>
      <c r="C166" s="47" t="n"/>
      <c r="D166" s="47" t="n"/>
      <c r="E166" s="48" t="n"/>
      <c r="F166" s="49" t="n"/>
      <c r="G166" s="50" t="n"/>
      <c r="H166" s="48" t="n"/>
      <c r="I166" s="48" t="n"/>
      <c r="J166" s="44">
        <f>IF(E166="","",N(G166)*'Hourly Pay Calculator'!$C$9)</f>
        <v/>
      </c>
      <c r="K166" s="44">
        <f>IF(E166="","",E166-N(H166)-N(I166)-J166)</f>
        <v/>
      </c>
      <c r="L166" s="44">
        <f>IF(E166="","",MAX(0,K166)*'Hourly Pay Calculator'!$C$13*'Hourly Pay Calculator'!$C$12)</f>
        <v/>
      </c>
      <c r="M166" s="44">
        <f>IF(E166="","",K166-L166)</f>
        <v/>
      </c>
      <c r="N166" s="45">
        <f>IF(OR(E166="",N(F166)=0),"",M166/F166)</f>
        <v/>
      </c>
      <c r="O166" s="47" t="n"/>
    </row>
    <row r="167">
      <c r="B167" s="46" t="n"/>
      <c r="C167" s="47" t="n"/>
      <c r="D167" s="47" t="n"/>
      <c r="E167" s="48" t="n"/>
      <c r="F167" s="49" t="n"/>
      <c r="G167" s="50" t="n"/>
      <c r="H167" s="48" t="n"/>
      <c r="I167" s="48" t="n"/>
      <c r="J167" s="44">
        <f>IF(E167="","",N(G167)*'Hourly Pay Calculator'!$C$9)</f>
        <v/>
      </c>
      <c r="K167" s="44">
        <f>IF(E167="","",E167-N(H167)-N(I167)-J167)</f>
        <v/>
      </c>
      <c r="L167" s="44">
        <f>IF(E167="","",MAX(0,K167)*'Hourly Pay Calculator'!$C$13*'Hourly Pay Calculator'!$C$12)</f>
        <v/>
      </c>
      <c r="M167" s="44">
        <f>IF(E167="","",K167-L167)</f>
        <v/>
      </c>
      <c r="N167" s="45">
        <f>IF(OR(E167="",N(F167)=0),"",M167/F167)</f>
        <v/>
      </c>
      <c r="O167" s="47" t="n"/>
    </row>
    <row r="168">
      <c r="B168" s="46" t="n"/>
      <c r="C168" s="47" t="n"/>
      <c r="D168" s="47" t="n"/>
      <c r="E168" s="48" t="n"/>
      <c r="F168" s="49" t="n"/>
      <c r="G168" s="50" t="n"/>
      <c r="H168" s="48" t="n"/>
      <c r="I168" s="48" t="n"/>
      <c r="J168" s="44">
        <f>IF(E168="","",N(G168)*'Hourly Pay Calculator'!$C$9)</f>
        <v/>
      </c>
      <c r="K168" s="44">
        <f>IF(E168="","",E168-N(H168)-N(I168)-J168)</f>
        <v/>
      </c>
      <c r="L168" s="44">
        <f>IF(E168="","",MAX(0,K168)*'Hourly Pay Calculator'!$C$13*'Hourly Pay Calculator'!$C$12)</f>
        <v/>
      </c>
      <c r="M168" s="44">
        <f>IF(E168="","",K168-L168)</f>
        <v/>
      </c>
      <c r="N168" s="45">
        <f>IF(OR(E168="",N(F168)=0),"",M168/F168)</f>
        <v/>
      </c>
      <c r="O168" s="47" t="n"/>
    </row>
    <row r="169">
      <c r="B169" s="46" t="n"/>
      <c r="C169" s="47" t="n"/>
      <c r="D169" s="47" t="n"/>
      <c r="E169" s="48" t="n"/>
      <c r="F169" s="49" t="n"/>
      <c r="G169" s="50" t="n"/>
      <c r="H169" s="48" t="n"/>
      <c r="I169" s="48" t="n"/>
      <c r="J169" s="44">
        <f>IF(E169="","",N(G169)*'Hourly Pay Calculator'!$C$9)</f>
        <v/>
      </c>
      <c r="K169" s="44">
        <f>IF(E169="","",E169-N(H169)-N(I169)-J169)</f>
        <v/>
      </c>
      <c r="L169" s="44">
        <f>IF(E169="","",MAX(0,K169)*'Hourly Pay Calculator'!$C$13*'Hourly Pay Calculator'!$C$12)</f>
        <v/>
      </c>
      <c r="M169" s="44">
        <f>IF(E169="","",K169-L169)</f>
        <v/>
      </c>
      <c r="N169" s="45">
        <f>IF(OR(E169="",N(F169)=0),"",M169/F169)</f>
        <v/>
      </c>
      <c r="O169" s="47" t="n"/>
    </row>
    <row r="170">
      <c r="B170" s="46" t="n"/>
      <c r="C170" s="47" t="n"/>
      <c r="D170" s="47" t="n"/>
      <c r="E170" s="48" t="n"/>
      <c r="F170" s="49" t="n"/>
      <c r="G170" s="50" t="n"/>
      <c r="H170" s="48" t="n"/>
      <c r="I170" s="48" t="n"/>
      <c r="J170" s="44">
        <f>IF(E170="","",N(G170)*'Hourly Pay Calculator'!$C$9)</f>
        <v/>
      </c>
      <c r="K170" s="44">
        <f>IF(E170="","",E170-N(H170)-N(I170)-J170)</f>
        <v/>
      </c>
      <c r="L170" s="44">
        <f>IF(E170="","",MAX(0,K170)*'Hourly Pay Calculator'!$C$13*'Hourly Pay Calculator'!$C$12)</f>
        <v/>
      </c>
      <c r="M170" s="44">
        <f>IF(E170="","",K170-L170)</f>
        <v/>
      </c>
      <c r="N170" s="45">
        <f>IF(OR(E170="",N(F170)=0),"",M170/F170)</f>
        <v/>
      </c>
      <c r="O170" s="47" t="n"/>
    </row>
    <row r="171">
      <c r="B171" s="46" t="n"/>
      <c r="C171" s="47" t="n"/>
      <c r="D171" s="47" t="n"/>
      <c r="E171" s="48" t="n"/>
      <c r="F171" s="49" t="n"/>
      <c r="G171" s="50" t="n"/>
      <c r="H171" s="48" t="n"/>
      <c r="I171" s="48" t="n"/>
      <c r="J171" s="44">
        <f>IF(E171="","",N(G171)*'Hourly Pay Calculator'!$C$9)</f>
        <v/>
      </c>
      <c r="K171" s="44">
        <f>IF(E171="","",E171-N(H171)-N(I171)-J171)</f>
        <v/>
      </c>
      <c r="L171" s="44">
        <f>IF(E171="","",MAX(0,K171)*'Hourly Pay Calculator'!$C$13*'Hourly Pay Calculator'!$C$12)</f>
        <v/>
      </c>
      <c r="M171" s="44">
        <f>IF(E171="","",K171-L171)</f>
        <v/>
      </c>
      <c r="N171" s="45">
        <f>IF(OR(E171="",N(F171)=0),"",M171/F171)</f>
        <v/>
      </c>
      <c r="O171" s="47" t="n"/>
    </row>
    <row r="172">
      <c r="B172" s="46" t="n"/>
      <c r="C172" s="47" t="n"/>
      <c r="D172" s="47" t="n"/>
      <c r="E172" s="48" t="n"/>
      <c r="F172" s="49" t="n"/>
      <c r="G172" s="50" t="n"/>
      <c r="H172" s="48" t="n"/>
      <c r="I172" s="48" t="n"/>
      <c r="J172" s="44">
        <f>IF(E172="","",N(G172)*'Hourly Pay Calculator'!$C$9)</f>
        <v/>
      </c>
      <c r="K172" s="44">
        <f>IF(E172="","",E172-N(H172)-N(I172)-J172)</f>
        <v/>
      </c>
      <c r="L172" s="44">
        <f>IF(E172="","",MAX(0,K172)*'Hourly Pay Calculator'!$C$13*'Hourly Pay Calculator'!$C$12)</f>
        <v/>
      </c>
      <c r="M172" s="44">
        <f>IF(E172="","",K172-L172)</f>
        <v/>
      </c>
      <c r="N172" s="45">
        <f>IF(OR(E172="",N(F172)=0),"",M172/F172)</f>
        <v/>
      </c>
      <c r="O172" s="47" t="n"/>
    </row>
    <row r="173">
      <c r="B173" s="46" t="n"/>
      <c r="C173" s="47" t="n"/>
      <c r="D173" s="47" t="n"/>
      <c r="E173" s="48" t="n"/>
      <c r="F173" s="49" t="n"/>
      <c r="G173" s="50" t="n"/>
      <c r="H173" s="48" t="n"/>
      <c r="I173" s="48" t="n"/>
      <c r="J173" s="44">
        <f>IF(E173="","",N(G173)*'Hourly Pay Calculator'!$C$9)</f>
        <v/>
      </c>
      <c r="K173" s="44">
        <f>IF(E173="","",E173-N(H173)-N(I173)-J173)</f>
        <v/>
      </c>
      <c r="L173" s="44">
        <f>IF(E173="","",MAX(0,K173)*'Hourly Pay Calculator'!$C$13*'Hourly Pay Calculator'!$C$12)</f>
        <v/>
      </c>
      <c r="M173" s="44">
        <f>IF(E173="","",K173-L173)</f>
        <v/>
      </c>
      <c r="N173" s="45">
        <f>IF(OR(E173="",N(F173)=0),"",M173/F173)</f>
        <v/>
      </c>
      <c r="O173" s="47" t="n"/>
    </row>
    <row r="174">
      <c r="B174" s="46" t="n"/>
      <c r="C174" s="47" t="n"/>
      <c r="D174" s="47" t="n"/>
      <c r="E174" s="48" t="n"/>
      <c r="F174" s="49" t="n"/>
      <c r="G174" s="50" t="n"/>
      <c r="H174" s="48" t="n"/>
      <c r="I174" s="48" t="n"/>
      <c r="J174" s="44">
        <f>IF(E174="","",N(G174)*'Hourly Pay Calculator'!$C$9)</f>
        <v/>
      </c>
      <c r="K174" s="44">
        <f>IF(E174="","",E174-N(H174)-N(I174)-J174)</f>
        <v/>
      </c>
      <c r="L174" s="44">
        <f>IF(E174="","",MAX(0,K174)*'Hourly Pay Calculator'!$C$13*'Hourly Pay Calculator'!$C$12)</f>
        <v/>
      </c>
      <c r="M174" s="44">
        <f>IF(E174="","",K174-L174)</f>
        <v/>
      </c>
      <c r="N174" s="45">
        <f>IF(OR(E174="",N(F174)=0),"",M174/F174)</f>
        <v/>
      </c>
      <c r="O174" s="47" t="n"/>
    </row>
    <row r="175">
      <c r="B175" s="46" t="n"/>
      <c r="C175" s="47" t="n"/>
      <c r="D175" s="47" t="n"/>
      <c r="E175" s="48" t="n"/>
      <c r="F175" s="49" t="n"/>
      <c r="G175" s="50" t="n"/>
      <c r="H175" s="48" t="n"/>
      <c r="I175" s="48" t="n"/>
      <c r="J175" s="44">
        <f>IF(E175="","",N(G175)*'Hourly Pay Calculator'!$C$9)</f>
        <v/>
      </c>
      <c r="K175" s="44">
        <f>IF(E175="","",E175-N(H175)-N(I175)-J175)</f>
        <v/>
      </c>
      <c r="L175" s="44">
        <f>IF(E175="","",MAX(0,K175)*'Hourly Pay Calculator'!$C$13*'Hourly Pay Calculator'!$C$12)</f>
        <v/>
      </c>
      <c r="M175" s="44">
        <f>IF(E175="","",K175-L175)</f>
        <v/>
      </c>
      <c r="N175" s="45">
        <f>IF(OR(E175="",N(F175)=0),"",M175/F175)</f>
        <v/>
      </c>
      <c r="O175" s="47" t="n"/>
    </row>
    <row r="176">
      <c r="B176" s="46" t="n"/>
      <c r="C176" s="47" t="n"/>
      <c r="D176" s="47" t="n"/>
      <c r="E176" s="48" t="n"/>
      <c r="F176" s="49" t="n"/>
      <c r="G176" s="50" t="n"/>
      <c r="H176" s="48" t="n"/>
      <c r="I176" s="48" t="n"/>
      <c r="J176" s="44">
        <f>IF(E176="","",N(G176)*'Hourly Pay Calculator'!$C$9)</f>
        <v/>
      </c>
      <c r="K176" s="44">
        <f>IF(E176="","",E176-N(H176)-N(I176)-J176)</f>
        <v/>
      </c>
      <c r="L176" s="44">
        <f>IF(E176="","",MAX(0,K176)*'Hourly Pay Calculator'!$C$13*'Hourly Pay Calculator'!$C$12)</f>
        <v/>
      </c>
      <c r="M176" s="44">
        <f>IF(E176="","",K176-L176)</f>
        <v/>
      </c>
      <c r="N176" s="45">
        <f>IF(OR(E176="",N(F176)=0),"",M176/F176)</f>
        <v/>
      </c>
      <c r="O176" s="47" t="n"/>
    </row>
    <row r="177">
      <c r="B177" s="46" t="n"/>
      <c r="C177" s="47" t="n"/>
      <c r="D177" s="47" t="n"/>
      <c r="E177" s="48" t="n"/>
      <c r="F177" s="49" t="n"/>
      <c r="G177" s="50" t="n"/>
      <c r="H177" s="48" t="n"/>
      <c r="I177" s="48" t="n"/>
      <c r="J177" s="44">
        <f>IF(E177="","",N(G177)*'Hourly Pay Calculator'!$C$9)</f>
        <v/>
      </c>
      <c r="K177" s="44">
        <f>IF(E177="","",E177-N(H177)-N(I177)-J177)</f>
        <v/>
      </c>
      <c r="L177" s="44">
        <f>IF(E177="","",MAX(0,K177)*'Hourly Pay Calculator'!$C$13*'Hourly Pay Calculator'!$C$12)</f>
        <v/>
      </c>
      <c r="M177" s="44">
        <f>IF(E177="","",K177-L177)</f>
        <v/>
      </c>
      <c r="N177" s="45">
        <f>IF(OR(E177="",N(F177)=0),"",M177/F177)</f>
        <v/>
      </c>
      <c r="O177" s="47" t="n"/>
    </row>
    <row r="178">
      <c r="B178" s="46" t="n"/>
      <c r="C178" s="47" t="n"/>
      <c r="D178" s="47" t="n"/>
      <c r="E178" s="48" t="n"/>
      <c r="F178" s="49" t="n"/>
      <c r="G178" s="50" t="n"/>
      <c r="H178" s="48" t="n"/>
      <c r="I178" s="48" t="n"/>
      <c r="J178" s="44">
        <f>IF(E178="","",N(G178)*'Hourly Pay Calculator'!$C$9)</f>
        <v/>
      </c>
      <c r="K178" s="44">
        <f>IF(E178="","",E178-N(H178)-N(I178)-J178)</f>
        <v/>
      </c>
      <c r="L178" s="44">
        <f>IF(E178="","",MAX(0,K178)*'Hourly Pay Calculator'!$C$13*'Hourly Pay Calculator'!$C$12)</f>
        <v/>
      </c>
      <c r="M178" s="44">
        <f>IF(E178="","",K178-L178)</f>
        <v/>
      </c>
      <c r="N178" s="45">
        <f>IF(OR(E178="",N(F178)=0),"",M178/F178)</f>
        <v/>
      </c>
      <c r="O178" s="47" t="n"/>
    </row>
    <row r="179">
      <c r="B179" s="46" t="n"/>
      <c r="C179" s="47" t="n"/>
      <c r="D179" s="47" t="n"/>
      <c r="E179" s="48" t="n"/>
      <c r="F179" s="49" t="n"/>
      <c r="G179" s="50" t="n"/>
      <c r="H179" s="48" t="n"/>
      <c r="I179" s="48" t="n"/>
      <c r="J179" s="44">
        <f>IF(E179="","",N(G179)*'Hourly Pay Calculator'!$C$9)</f>
        <v/>
      </c>
      <c r="K179" s="44">
        <f>IF(E179="","",E179-N(H179)-N(I179)-J179)</f>
        <v/>
      </c>
      <c r="L179" s="44">
        <f>IF(E179="","",MAX(0,K179)*'Hourly Pay Calculator'!$C$13*'Hourly Pay Calculator'!$C$12)</f>
        <v/>
      </c>
      <c r="M179" s="44">
        <f>IF(E179="","",K179-L179)</f>
        <v/>
      </c>
      <c r="N179" s="45">
        <f>IF(OR(E179="",N(F179)=0),"",M179/F179)</f>
        <v/>
      </c>
      <c r="O179" s="47" t="n"/>
    </row>
    <row r="180">
      <c r="B180" s="46" t="n"/>
      <c r="C180" s="47" t="n"/>
      <c r="D180" s="47" t="n"/>
      <c r="E180" s="48" t="n"/>
      <c r="F180" s="49" t="n"/>
      <c r="G180" s="50" t="n"/>
      <c r="H180" s="48" t="n"/>
      <c r="I180" s="48" t="n"/>
      <c r="J180" s="44">
        <f>IF(E180="","",N(G180)*'Hourly Pay Calculator'!$C$9)</f>
        <v/>
      </c>
      <c r="K180" s="44">
        <f>IF(E180="","",E180-N(H180)-N(I180)-J180)</f>
        <v/>
      </c>
      <c r="L180" s="44">
        <f>IF(E180="","",MAX(0,K180)*'Hourly Pay Calculator'!$C$13*'Hourly Pay Calculator'!$C$12)</f>
        <v/>
      </c>
      <c r="M180" s="44">
        <f>IF(E180="","",K180-L180)</f>
        <v/>
      </c>
      <c r="N180" s="45">
        <f>IF(OR(E180="",N(F180)=0),"",M180/F180)</f>
        <v/>
      </c>
      <c r="O180" s="47" t="n"/>
    </row>
    <row r="181">
      <c r="B181" s="46" t="n"/>
      <c r="C181" s="47" t="n"/>
      <c r="D181" s="47" t="n"/>
      <c r="E181" s="48" t="n"/>
      <c r="F181" s="49" t="n"/>
      <c r="G181" s="50" t="n"/>
      <c r="H181" s="48" t="n"/>
      <c r="I181" s="48" t="n"/>
      <c r="J181" s="44">
        <f>IF(E181="","",N(G181)*'Hourly Pay Calculator'!$C$9)</f>
        <v/>
      </c>
      <c r="K181" s="44">
        <f>IF(E181="","",E181-N(H181)-N(I181)-J181)</f>
        <v/>
      </c>
      <c r="L181" s="44">
        <f>IF(E181="","",MAX(0,K181)*'Hourly Pay Calculator'!$C$13*'Hourly Pay Calculator'!$C$12)</f>
        <v/>
      </c>
      <c r="M181" s="44">
        <f>IF(E181="","",K181-L181)</f>
        <v/>
      </c>
      <c r="N181" s="45">
        <f>IF(OR(E181="",N(F181)=0),"",M181/F181)</f>
        <v/>
      </c>
      <c r="O181" s="47" t="n"/>
    </row>
    <row r="182">
      <c r="B182" s="46" t="n"/>
      <c r="C182" s="47" t="n"/>
      <c r="D182" s="47" t="n"/>
      <c r="E182" s="48" t="n"/>
      <c r="F182" s="49" t="n"/>
      <c r="G182" s="50" t="n"/>
      <c r="H182" s="48" t="n"/>
      <c r="I182" s="48" t="n"/>
      <c r="J182" s="44">
        <f>IF(E182="","",N(G182)*'Hourly Pay Calculator'!$C$9)</f>
        <v/>
      </c>
      <c r="K182" s="44">
        <f>IF(E182="","",E182-N(H182)-N(I182)-J182)</f>
        <v/>
      </c>
      <c r="L182" s="44">
        <f>IF(E182="","",MAX(0,K182)*'Hourly Pay Calculator'!$C$13*'Hourly Pay Calculator'!$C$12)</f>
        <v/>
      </c>
      <c r="M182" s="44">
        <f>IF(E182="","",K182-L182)</f>
        <v/>
      </c>
      <c r="N182" s="45">
        <f>IF(OR(E182="",N(F182)=0),"",M182/F182)</f>
        <v/>
      </c>
      <c r="O182" s="47" t="n"/>
    </row>
    <row r="183">
      <c r="B183" s="46" t="n"/>
      <c r="C183" s="47" t="n"/>
      <c r="D183" s="47" t="n"/>
      <c r="E183" s="48" t="n"/>
      <c r="F183" s="49" t="n"/>
      <c r="G183" s="50" t="n"/>
      <c r="H183" s="48" t="n"/>
      <c r="I183" s="48" t="n"/>
      <c r="J183" s="44">
        <f>IF(E183="","",N(G183)*'Hourly Pay Calculator'!$C$9)</f>
        <v/>
      </c>
      <c r="K183" s="44">
        <f>IF(E183="","",E183-N(H183)-N(I183)-J183)</f>
        <v/>
      </c>
      <c r="L183" s="44">
        <f>IF(E183="","",MAX(0,K183)*'Hourly Pay Calculator'!$C$13*'Hourly Pay Calculator'!$C$12)</f>
        <v/>
      </c>
      <c r="M183" s="44">
        <f>IF(E183="","",K183-L183)</f>
        <v/>
      </c>
      <c r="N183" s="45">
        <f>IF(OR(E183="",N(F183)=0),"",M183/F183)</f>
        <v/>
      </c>
      <c r="O183" s="47" t="n"/>
    </row>
    <row r="184">
      <c r="B184" s="46" t="n"/>
      <c r="C184" s="47" t="n"/>
      <c r="D184" s="47" t="n"/>
      <c r="E184" s="48" t="n"/>
      <c r="F184" s="49" t="n"/>
      <c r="G184" s="50" t="n"/>
      <c r="H184" s="48" t="n"/>
      <c r="I184" s="48" t="n"/>
      <c r="J184" s="44">
        <f>IF(E184="","",N(G184)*'Hourly Pay Calculator'!$C$9)</f>
        <v/>
      </c>
      <c r="K184" s="44">
        <f>IF(E184="","",E184-N(H184)-N(I184)-J184)</f>
        <v/>
      </c>
      <c r="L184" s="44">
        <f>IF(E184="","",MAX(0,K184)*'Hourly Pay Calculator'!$C$13*'Hourly Pay Calculator'!$C$12)</f>
        <v/>
      </c>
      <c r="M184" s="44">
        <f>IF(E184="","",K184-L184)</f>
        <v/>
      </c>
      <c r="N184" s="45">
        <f>IF(OR(E184="",N(F184)=0),"",M184/F184)</f>
        <v/>
      </c>
      <c r="O184" s="47" t="n"/>
    </row>
    <row r="185">
      <c r="B185" s="46" t="n"/>
      <c r="C185" s="47" t="n"/>
      <c r="D185" s="47" t="n"/>
      <c r="E185" s="48" t="n"/>
      <c r="F185" s="49" t="n"/>
      <c r="G185" s="50" t="n"/>
      <c r="H185" s="48" t="n"/>
      <c r="I185" s="48" t="n"/>
      <c r="J185" s="44">
        <f>IF(E185="","",N(G185)*'Hourly Pay Calculator'!$C$9)</f>
        <v/>
      </c>
      <c r="K185" s="44">
        <f>IF(E185="","",E185-N(H185)-N(I185)-J185)</f>
        <v/>
      </c>
      <c r="L185" s="44">
        <f>IF(E185="","",MAX(0,K185)*'Hourly Pay Calculator'!$C$13*'Hourly Pay Calculator'!$C$12)</f>
        <v/>
      </c>
      <c r="M185" s="44">
        <f>IF(E185="","",K185-L185)</f>
        <v/>
      </c>
      <c r="N185" s="45">
        <f>IF(OR(E185="",N(F185)=0),"",M185/F185)</f>
        <v/>
      </c>
      <c r="O185" s="47" t="n"/>
    </row>
    <row r="186">
      <c r="B186" s="46" t="n"/>
      <c r="C186" s="47" t="n"/>
      <c r="D186" s="47" t="n"/>
      <c r="E186" s="48" t="n"/>
      <c r="F186" s="49" t="n"/>
      <c r="G186" s="50" t="n"/>
      <c r="H186" s="48" t="n"/>
      <c r="I186" s="48" t="n"/>
      <c r="J186" s="44">
        <f>IF(E186="","",N(G186)*'Hourly Pay Calculator'!$C$9)</f>
        <v/>
      </c>
      <c r="K186" s="44">
        <f>IF(E186="","",E186-N(H186)-N(I186)-J186)</f>
        <v/>
      </c>
      <c r="L186" s="44">
        <f>IF(E186="","",MAX(0,K186)*'Hourly Pay Calculator'!$C$13*'Hourly Pay Calculator'!$C$12)</f>
        <v/>
      </c>
      <c r="M186" s="44">
        <f>IF(E186="","",K186-L186)</f>
        <v/>
      </c>
      <c r="N186" s="45">
        <f>IF(OR(E186="",N(F186)=0),"",M186/F186)</f>
        <v/>
      </c>
      <c r="O186" s="47" t="n"/>
    </row>
    <row r="187">
      <c r="B187" s="46" t="n"/>
      <c r="C187" s="47" t="n"/>
      <c r="D187" s="47" t="n"/>
      <c r="E187" s="48" t="n"/>
      <c r="F187" s="49" t="n"/>
      <c r="G187" s="50" t="n"/>
      <c r="H187" s="48" t="n"/>
      <c r="I187" s="48" t="n"/>
      <c r="J187" s="44">
        <f>IF(E187="","",N(G187)*'Hourly Pay Calculator'!$C$9)</f>
        <v/>
      </c>
      <c r="K187" s="44">
        <f>IF(E187="","",E187-N(H187)-N(I187)-J187)</f>
        <v/>
      </c>
      <c r="L187" s="44">
        <f>IF(E187="","",MAX(0,K187)*'Hourly Pay Calculator'!$C$13*'Hourly Pay Calculator'!$C$12)</f>
        <v/>
      </c>
      <c r="M187" s="44">
        <f>IF(E187="","",K187-L187)</f>
        <v/>
      </c>
      <c r="N187" s="45">
        <f>IF(OR(E187="",N(F187)=0),"",M187/F187)</f>
        <v/>
      </c>
      <c r="O187" s="47" t="n"/>
    </row>
    <row r="188">
      <c r="B188" s="46" t="n"/>
      <c r="C188" s="47" t="n"/>
      <c r="D188" s="47" t="n"/>
      <c r="E188" s="48" t="n"/>
      <c r="F188" s="49" t="n"/>
      <c r="G188" s="50" t="n"/>
      <c r="H188" s="48" t="n"/>
      <c r="I188" s="48" t="n"/>
      <c r="J188" s="44">
        <f>IF(E188="","",N(G188)*'Hourly Pay Calculator'!$C$9)</f>
        <v/>
      </c>
      <c r="K188" s="44">
        <f>IF(E188="","",E188-N(H188)-N(I188)-J188)</f>
        <v/>
      </c>
      <c r="L188" s="44">
        <f>IF(E188="","",MAX(0,K188)*'Hourly Pay Calculator'!$C$13*'Hourly Pay Calculator'!$C$12)</f>
        <v/>
      </c>
      <c r="M188" s="44">
        <f>IF(E188="","",K188-L188)</f>
        <v/>
      </c>
      <c r="N188" s="45">
        <f>IF(OR(E188="",N(F188)=0),"",M188/F188)</f>
        <v/>
      </c>
      <c r="O188" s="47" t="n"/>
    </row>
    <row r="189">
      <c r="B189" s="46" t="n"/>
      <c r="C189" s="47" t="n"/>
      <c r="D189" s="47" t="n"/>
      <c r="E189" s="48" t="n"/>
      <c r="F189" s="49" t="n"/>
      <c r="G189" s="50" t="n"/>
      <c r="H189" s="48" t="n"/>
      <c r="I189" s="48" t="n"/>
      <c r="J189" s="44">
        <f>IF(E189="","",N(G189)*'Hourly Pay Calculator'!$C$9)</f>
        <v/>
      </c>
      <c r="K189" s="44">
        <f>IF(E189="","",E189-N(H189)-N(I189)-J189)</f>
        <v/>
      </c>
      <c r="L189" s="44">
        <f>IF(E189="","",MAX(0,K189)*'Hourly Pay Calculator'!$C$13*'Hourly Pay Calculator'!$C$12)</f>
        <v/>
      </c>
      <c r="M189" s="44">
        <f>IF(E189="","",K189-L189)</f>
        <v/>
      </c>
      <c r="N189" s="45">
        <f>IF(OR(E189="",N(F189)=0),"",M189/F189)</f>
        <v/>
      </c>
      <c r="O189" s="47" t="n"/>
    </row>
    <row r="190">
      <c r="B190" s="46" t="n"/>
      <c r="C190" s="47" t="n"/>
      <c r="D190" s="47" t="n"/>
      <c r="E190" s="48" t="n"/>
      <c r="F190" s="49" t="n"/>
      <c r="G190" s="50" t="n"/>
      <c r="H190" s="48" t="n"/>
      <c r="I190" s="48" t="n"/>
      <c r="J190" s="44">
        <f>IF(E190="","",N(G190)*'Hourly Pay Calculator'!$C$9)</f>
        <v/>
      </c>
      <c r="K190" s="44">
        <f>IF(E190="","",E190-N(H190)-N(I190)-J190)</f>
        <v/>
      </c>
      <c r="L190" s="44">
        <f>IF(E190="","",MAX(0,K190)*'Hourly Pay Calculator'!$C$13*'Hourly Pay Calculator'!$C$12)</f>
        <v/>
      </c>
      <c r="M190" s="44">
        <f>IF(E190="","",K190-L190)</f>
        <v/>
      </c>
      <c r="N190" s="45">
        <f>IF(OR(E190="",N(F190)=0),"",M190/F190)</f>
        <v/>
      </c>
      <c r="O190" s="47" t="n"/>
    </row>
    <row r="191">
      <c r="B191" s="46" t="n"/>
      <c r="C191" s="47" t="n"/>
      <c r="D191" s="47" t="n"/>
      <c r="E191" s="48" t="n"/>
      <c r="F191" s="49" t="n"/>
      <c r="G191" s="50" t="n"/>
      <c r="H191" s="48" t="n"/>
      <c r="I191" s="48" t="n"/>
      <c r="J191" s="44">
        <f>IF(E191="","",N(G191)*'Hourly Pay Calculator'!$C$9)</f>
        <v/>
      </c>
      <c r="K191" s="44">
        <f>IF(E191="","",E191-N(H191)-N(I191)-J191)</f>
        <v/>
      </c>
      <c r="L191" s="44">
        <f>IF(E191="","",MAX(0,K191)*'Hourly Pay Calculator'!$C$13*'Hourly Pay Calculator'!$C$12)</f>
        <v/>
      </c>
      <c r="M191" s="44">
        <f>IF(E191="","",K191-L191)</f>
        <v/>
      </c>
      <c r="N191" s="45">
        <f>IF(OR(E191="",N(F191)=0),"",M191/F191)</f>
        <v/>
      </c>
      <c r="O191" s="47" t="n"/>
    </row>
    <row r="192">
      <c r="B192" s="46" t="n"/>
      <c r="C192" s="47" t="n"/>
      <c r="D192" s="47" t="n"/>
      <c r="E192" s="48" t="n"/>
      <c r="F192" s="49" t="n"/>
      <c r="G192" s="50" t="n"/>
      <c r="H192" s="48" t="n"/>
      <c r="I192" s="48" t="n"/>
      <c r="J192" s="44">
        <f>IF(E192="","",N(G192)*'Hourly Pay Calculator'!$C$9)</f>
        <v/>
      </c>
      <c r="K192" s="44">
        <f>IF(E192="","",E192-N(H192)-N(I192)-J192)</f>
        <v/>
      </c>
      <c r="L192" s="44">
        <f>IF(E192="","",MAX(0,K192)*'Hourly Pay Calculator'!$C$13*'Hourly Pay Calculator'!$C$12)</f>
        <v/>
      </c>
      <c r="M192" s="44">
        <f>IF(E192="","",K192-L192)</f>
        <v/>
      </c>
      <c r="N192" s="45">
        <f>IF(OR(E192="",N(F192)=0),"",M192/F192)</f>
        <v/>
      </c>
      <c r="O192" s="47" t="n"/>
    </row>
    <row r="193">
      <c r="B193" s="46" t="n"/>
      <c r="C193" s="47" t="n"/>
      <c r="D193" s="47" t="n"/>
      <c r="E193" s="48" t="n"/>
      <c r="F193" s="49" t="n"/>
      <c r="G193" s="50" t="n"/>
      <c r="H193" s="48" t="n"/>
      <c r="I193" s="48" t="n"/>
      <c r="J193" s="44">
        <f>IF(E193="","",N(G193)*'Hourly Pay Calculator'!$C$9)</f>
        <v/>
      </c>
      <c r="K193" s="44">
        <f>IF(E193="","",E193-N(H193)-N(I193)-J193)</f>
        <v/>
      </c>
      <c r="L193" s="44">
        <f>IF(E193="","",MAX(0,K193)*'Hourly Pay Calculator'!$C$13*'Hourly Pay Calculator'!$C$12)</f>
        <v/>
      </c>
      <c r="M193" s="44">
        <f>IF(E193="","",K193-L193)</f>
        <v/>
      </c>
      <c r="N193" s="45">
        <f>IF(OR(E193="",N(F193)=0),"",M193/F193)</f>
        <v/>
      </c>
      <c r="O193" s="47" t="n"/>
    </row>
    <row r="194">
      <c r="B194" s="46" t="n"/>
      <c r="C194" s="47" t="n"/>
      <c r="D194" s="47" t="n"/>
      <c r="E194" s="48" t="n"/>
      <c r="F194" s="49" t="n"/>
      <c r="G194" s="50" t="n"/>
      <c r="H194" s="48" t="n"/>
      <c r="I194" s="48" t="n"/>
      <c r="J194" s="44">
        <f>IF(E194="","",N(G194)*'Hourly Pay Calculator'!$C$9)</f>
        <v/>
      </c>
      <c r="K194" s="44">
        <f>IF(E194="","",E194-N(H194)-N(I194)-J194)</f>
        <v/>
      </c>
      <c r="L194" s="44">
        <f>IF(E194="","",MAX(0,K194)*'Hourly Pay Calculator'!$C$13*'Hourly Pay Calculator'!$C$12)</f>
        <v/>
      </c>
      <c r="M194" s="44">
        <f>IF(E194="","",K194-L194)</f>
        <v/>
      </c>
      <c r="N194" s="45">
        <f>IF(OR(E194="",N(F194)=0),"",M194/F194)</f>
        <v/>
      </c>
      <c r="O194" s="47" t="n"/>
    </row>
    <row r="195">
      <c r="B195" s="46" t="n"/>
      <c r="C195" s="47" t="n"/>
      <c r="D195" s="47" t="n"/>
      <c r="E195" s="48" t="n"/>
      <c r="F195" s="49" t="n"/>
      <c r="G195" s="50" t="n"/>
      <c r="H195" s="48" t="n"/>
      <c r="I195" s="48" t="n"/>
      <c r="J195" s="44">
        <f>IF(E195="","",N(G195)*'Hourly Pay Calculator'!$C$9)</f>
        <v/>
      </c>
      <c r="K195" s="44">
        <f>IF(E195="","",E195-N(H195)-N(I195)-J195)</f>
        <v/>
      </c>
      <c r="L195" s="44">
        <f>IF(E195="","",MAX(0,K195)*'Hourly Pay Calculator'!$C$13*'Hourly Pay Calculator'!$C$12)</f>
        <v/>
      </c>
      <c r="M195" s="44">
        <f>IF(E195="","",K195-L195)</f>
        <v/>
      </c>
      <c r="N195" s="45">
        <f>IF(OR(E195="",N(F195)=0),"",M195/F195)</f>
        <v/>
      </c>
      <c r="O195" s="47" t="n"/>
    </row>
    <row r="196">
      <c r="B196" s="46" t="n"/>
      <c r="C196" s="47" t="n"/>
      <c r="D196" s="47" t="n"/>
      <c r="E196" s="48" t="n"/>
      <c r="F196" s="49" t="n"/>
      <c r="G196" s="50" t="n"/>
      <c r="H196" s="48" t="n"/>
      <c r="I196" s="48" t="n"/>
      <c r="J196" s="44">
        <f>IF(E196="","",N(G196)*'Hourly Pay Calculator'!$C$9)</f>
        <v/>
      </c>
      <c r="K196" s="44">
        <f>IF(E196="","",E196-N(H196)-N(I196)-J196)</f>
        <v/>
      </c>
      <c r="L196" s="44">
        <f>IF(E196="","",MAX(0,K196)*'Hourly Pay Calculator'!$C$13*'Hourly Pay Calculator'!$C$12)</f>
        <v/>
      </c>
      <c r="M196" s="44">
        <f>IF(E196="","",K196-L196)</f>
        <v/>
      </c>
      <c r="N196" s="45">
        <f>IF(OR(E196="",N(F196)=0),"",M196/F196)</f>
        <v/>
      </c>
      <c r="O196" s="47" t="n"/>
    </row>
    <row r="197">
      <c r="B197" s="46" t="n"/>
      <c r="C197" s="47" t="n"/>
      <c r="D197" s="47" t="n"/>
      <c r="E197" s="48" t="n"/>
      <c r="F197" s="49" t="n"/>
      <c r="G197" s="50" t="n"/>
      <c r="H197" s="48" t="n"/>
      <c r="I197" s="48" t="n"/>
      <c r="J197" s="44">
        <f>IF(E197="","",N(G197)*'Hourly Pay Calculator'!$C$9)</f>
        <v/>
      </c>
      <c r="K197" s="44">
        <f>IF(E197="","",E197-N(H197)-N(I197)-J197)</f>
        <v/>
      </c>
      <c r="L197" s="44">
        <f>IF(E197="","",MAX(0,K197)*'Hourly Pay Calculator'!$C$13*'Hourly Pay Calculator'!$C$12)</f>
        <v/>
      </c>
      <c r="M197" s="44">
        <f>IF(E197="","",K197-L197)</f>
        <v/>
      </c>
      <c r="N197" s="45">
        <f>IF(OR(E197="",N(F197)=0),"",M197/F197)</f>
        <v/>
      </c>
      <c r="O197" s="47" t="n"/>
    </row>
    <row r="198">
      <c r="B198" s="46" t="n"/>
      <c r="C198" s="47" t="n"/>
      <c r="D198" s="47" t="n"/>
      <c r="E198" s="48" t="n"/>
      <c r="F198" s="49" t="n"/>
      <c r="G198" s="50" t="n"/>
      <c r="H198" s="48" t="n"/>
      <c r="I198" s="48" t="n"/>
      <c r="J198" s="44">
        <f>IF(E198="","",N(G198)*'Hourly Pay Calculator'!$C$9)</f>
        <v/>
      </c>
      <c r="K198" s="44">
        <f>IF(E198="","",E198-N(H198)-N(I198)-J198)</f>
        <v/>
      </c>
      <c r="L198" s="44">
        <f>IF(E198="","",MAX(0,K198)*'Hourly Pay Calculator'!$C$13*'Hourly Pay Calculator'!$C$12)</f>
        <v/>
      </c>
      <c r="M198" s="44">
        <f>IF(E198="","",K198-L198)</f>
        <v/>
      </c>
      <c r="N198" s="45">
        <f>IF(OR(E198="",N(F198)=0),"",M198/F198)</f>
        <v/>
      </c>
      <c r="O198" s="47" t="n"/>
    </row>
    <row r="199">
      <c r="B199" s="46" t="n"/>
      <c r="C199" s="47" t="n"/>
      <c r="D199" s="47" t="n"/>
      <c r="E199" s="48" t="n"/>
      <c r="F199" s="49" t="n"/>
      <c r="G199" s="50" t="n"/>
      <c r="H199" s="48" t="n"/>
      <c r="I199" s="48" t="n"/>
      <c r="J199" s="44">
        <f>IF(E199="","",N(G199)*'Hourly Pay Calculator'!$C$9)</f>
        <v/>
      </c>
      <c r="K199" s="44">
        <f>IF(E199="","",E199-N(H199)-N(I199)-J199)</f>
        <v/>
      </c>
      <c r="L199" s="44">
        <f>IF(E199="","",MAX(0,K199)*'Hourly Pay Calculator'!$C$13*'Hourly Pay Calculator'!$C$12)</f>
        <v/>
      </c>
      <c r="M199" s="44">
        <f>IF(E199="","",K199-L199)</f>
        <v/>
      </c>
      <c r="N199" s="45">
        <f>IF(OR(E199="",N(F199)=0),"",M199/F199)</f>
        <v/>
      </c>
      <c r="O199" s="47" t="n"/>
    </row>
    <row r="200">
      <c r="B200" s="46" t="n"/>
      <c r="C200" s="47" t="n"/>
      <c r="D200" s="47" t="n"/>
      <c r="E200" s="48" t="n"/>
      <c r="F200" s="49" t="n"/>
      <c r="G200" s="50" t="n"/>
      <c r="H200" s="48" t="n"/>
      <c r="I200" s="48" t="n"/>
      <c r="J200" s="44">
        <f>IF(E200="","",N(G200)*'Hourly Pay Calculator'!$C$9)</f>
        <v/>
      </c>
      <c r="K200" s="44">
        <f>IF(E200="","",E200-N(H200)-N(I200)-J200)</f>
        <v/>
      </c>
      <c r="L200" s="44">
        <f>IF(E200="","",MAX(0,K200)*'Hourly Pay Calculator'!$C$13*'Hourly Pay Calculator'!$C$12)</f>
        <v/>
      </c>
      <c r="M200" s="44">
        <f>IF(E200="","",K200-L200)</f>
        <v/>
      </c>
      <c r="N200" s="45">
        <f>IF(OR(E200="",N(F200)=0),"",M200/F200)</f>
        <v/>
      </c>
      <c r="O200" s="47" t="n"/>
    </row>
    <row r="201">
      <c r="B201" s="46" t="n"/>
      <c r="C201" s="47" t="n"/>
      <c r="D201" s="47" t="n"/>
      <c r="E201" s="48" t="n"/>
      <c r="F201" s="49" t="n"/>
      <c r="G201" s="50" t="n"/>
      <c r="H201" s="48" t="n"/>
      <c r="I201" s="48" t="n"/>
      <c r="J201" s="44">
        <f>IF(E201="","",N(G201)*'Hourly Pay Calculator'!$C$9)</f>
        <v/>
      </c>
      <c r="K201" s="44">
        <f>IF(E201="","",E201-N(H201)-N(I201)-J201)</f>
        <v/>
      </c>
      <c r="L201" s="44">
        <f>IF(E201="","",MAX(0,K201)*'Hourly Pay Calculator'!$C$13*'Hourly Pay Calculator'!$C$12)</f>
        <v/>
      </c>
      <c r="M201" s="44">
        <f>IF(E201="","",K201-L201)</f>
        <v/>
      </c>
      <c r="N201" s="45">
        <f>IF(OR(E201="",N(F201)=0),"",M201/F201)</f>
        <v/>
      </c>
      <c r="O201" s="47" t="n"/>
    </row>
    <row r="202">
      <c r="B202" s="46" t="n"/>
      <c r="C202" s="47" t="n"/>
      <c r="D202" s="47" t="n"/>
      <c r="E202" s="48" t="n"/>
      <c r="F202" s="49" t="n"/>
      <c r="G202" s="50" t="n"/>
      <c r="H202" s="48" t="n"/>
      <c r="I202" s="48" t="n"/>
      <c r="J202" s="44">
        <f>IF(E202="","",N(G202)*'Hourly Pay Calculator'!$C$9)</f>
        <v/>
      </c>
      <c r="K202" s="44">
        <f>IF(E202="","",E202-N(H202)-N(I202)-J202)</f>
        <v/>
      </c>
      <c r="L202" s="44">
        <f>IF(E202="","",MAX(0,K202)*'Hourly Pay Calculator'!$C$13*'Hourly Pay Calculator'!$C$12)</f>
        <v/>
      </c>
      <c r="M202" s="44">
        <f>IF(E202="","",K202-L202)</f>
        <v/>
      </c>
      <c r="N202" s="45">
        <f>IF(OR(E202="",N(F202)=0),"",M202/F202)</f>
        <v/>
      </c>
      <c r="O202" s="47" t="n"/>
    </row>
    <row r="203">
      <c r="B203" s="46" t="n"/>
      <c r="C203" s="47" t="n"/>
      <c r="D203" s="47" t="n"/>
      <c r="E203" s="48" t="n"/>
      <c r="F203" s="49" t="n"/>
      <c r="G203" s="50" t="n"/>
      <c r="H203" s="48" t="n"/>
      <c r="I203" s="48" t="n"/>
      <c r="J203" s="44">
        <f>IF(E203="","",N(G203)*'Hourly Pay Calculator'!$C$9)</f>
        <v/>
      </c>
      <c r="K203" s="44">
        <f>IF(E203="","",E203-N(H203)-N(I203)-J203)</f>
        <v/>
      </c>
      <c r="L203" s="44">
        <f>IF(E203="","",MAX(0,K203)*'Hourly Pay Calculator'!$C$13*'Hourly Pay Calculator'!$C$12)</f>
        <v/>
      </c>
      <c r="M203" s="44">
        <f>IF(E203="","",K203-L203)</f>
        <v/>
      </c>
      <c r="N203" s="45">
        <f>IF(OR(E203="",N(F203)=0),"",M203/F203)</f>
        <v/>
      </c>
      <c r="O203" s="47" t="n"/>
    </row>
    <row r="204">
      <c r="B204" s="46" t="n"/>
      <c r="C204" s="47" t="n"/>
      <c r="D204" s="47" t="n"/>
      <c r="E204" s="48" t="n"/>
      <c r="F204" s="49" t="n"/>
      <c r="G204" s="50" t="n"/>
      <c r="H204" s="48" t="n"/>
      <c r="I204" s="48" t="n"/>
      <c r="J204" s="44">
        <f>IF(E204="","",N(G204)*'Hourly Pay Calculator'!$C$9)</f>
        <v/>
      </c>
      <c r="K204" s="44">
        <f>IF(E204="","",E204-N(H204)-N(I204)-J204)</f>
        <v/>
      </c>
      <c r="L204" s="44">
        <f>IF(E204="","",MAX(0,K204)*'Hourly Pay Calculator'!$C$13*'Hourly Pay Calculator'!$C$12)</f>
        <v/>
      </c>
      <c r="M204" s="44">
        <f>IF(E204="","",K204-L204)</f>
        <v/>
      </c>
      <c r="N204" s="45">
        <f>IF(OR(E204="",N(F204)=0),"",M204/F204)</f>
        <v/>
      </c>
      <c r="O204" s="47" t="n"/>
    </row>
    <row r="205">
      <c r="B205" s="46" t="n"/>
      <c r="C205" s="47" t="n"/>
      <c r="D205" s="47" t="n"/>
      <c r="E205" s="48" t="n"/>
      <c r="F205" s="49" t="n"/>
      <c r="G205" s="50" t="n"/>
      <c r="H205" s="48" t="n"/>
      <c r="I205" s="48" t="n"/>
      <c r="J205" s="44">
        <f>IF(E205="","",N(G205)*'Hourly Pay Calculator'!$C$9)</f>
        <v/>
      </c>
      <c r="K205" s="44">
        <f>IF(E205="","",E205-N(H205)-N(I205)-J205)</f>
        <v/>
      </c>
      <c r="L205" s="44">
        <f>IF(E205="","",MAX(0,K205)*'Hourly Pay Calculator'!$C$13*'Hourly Pay Calculator'!$C$12)</f>
        <v/>
      </c>
      <c r="M205" s="44">
        <f>IF(E205="","",K205-L205)</f>
        <v/>
      </c>
      <c r="N205" s="45">
        <f>IF(OR(E205="",N(F205)=0),"",M205/F205)</f>
        <v/>
      </c>
      <c r="O205" s="47" t="n"/>
    </row>
    <row r="206">
      <c r="B206" s="46" t="n"/>
      <c r="C206" s="47" t="n"/>
      <c r="D206" s="47" t="n"/>
      <c r="E206" s="48" t="n"/>
      <c r="F206" s="49" t="n"/>
      <c r="G206" s="50" t="n"/>
      <c r="H206" s="48" t="n"/>
      <c r="I206" s="48" t="n"/>
      <c r="J206" s="44">
        <f>IF(E206="","",N(G206)*'Hourly Pay Calculator'!$C$9)</f>
        <v/>
      </c>
      <c r="K206" s="44">
        <f>IF(E206="","",E206-N(H206)-N(I206)-J206)</f>
        <v/>
      </c>
      <c r="L206" s="44">
        <f>IF(E206="","",MAX(0,K206)*'Hourly Pay Calculator'!$C$13*'Hourly Pay Calculator'!$C$12)</f>
        <v/>
      </c>
      <c r="M206" s="44">
        <f>IF(E206="","",K206-L206)</f>
        <v/>
      </c>
      <c r="N206" s="45">
        <f>IF(OR(E206="",N(F206)=0),"",M206/F206)</f>
        <v/>
      </c>
      <c r="O206" s="47" t="n"/>
    </row>
    <row r="207">
      <c r="B207" s="46" t="n"/>
      <c r="C207" s="47" t="n"/>
      <c r="D207" s="47" t="n"/>
      <c r="E207" s="48" t="n"/>
      <c r="F207" s="49" t="n"/>
      <c r="G207" s="50" t="n"/>
      <c r="H207" s="48" t="n"/>
      <c r="I207" s="48" t="n"/>
      <c r="J207" s="44">
        <f>IF(E207="","",N(G207)*'Hourly Pay Calculator'!$C$9)</f>
        <v/>
      </c>
      <c r="K207" s="44">
        <f>IF(E207="","",E207-N(H207)-N(I207)-J207)</f>
        <v/>
      </c>
      <c r="L207" s="44">
        <f>IF(E207="","",MAX(0,K207)*'Hourly Pay Calculator'!$C$13*'Hourly Pay Calculator'!$C$12)</f>
        <v/>
      </c>
      <c r="M207" s="44">
        <f>IF(E207="","",K207-L207)</f>
        <v/>
      </c>
      <c r="N207" s="45">
        <f>IF(OR(E207="",N(F207)=0),"",M207/F207)</f>
        <v/>
      </c>
      <c r="O207" s="47" t="n"/>
    </row>
    <row r="208">
      <c r="B208" s="46" t="n"/>
      <c r="C208" s="47" t="n"/>
      <c r="D208" s="47" t="n"/>
      <c r="E208" s="48" t="n"/>
      <c r="F208" s="49" t="n"/>
      <c r="G208" s="50" t="n"/>
      <c r="H208" s="48" t="n"/>
      <c r="I208" s="48" t="n"/>
      <c r="J208" s="44">
        <f>IF(E208="","",N(G208)*'Hourly Pay Calculator'!$C$9)</f>
        <v/>
      </c>
      <c r="K208" s="44">
        <f>IF(E208="","",E208-N(H208)-N(I208)-J208)</f>
        <v/>
      </c>
      <c r="L208" s="44">
        <f>IF(E208="","",MAX(0,K208)*'Hourly Pay Calculator'!$C$13*'Hourly Pay Calculator'!$C$12)</f>
        <v/>
      </c>
      <c r="M208" s="44">
        <f>IF(E208="","",K208-L208)</f>
        <v/>
      </c>
      <c r="N208" s="45">
        <f>IF(OR(E208="",N(F208)=0),"",M208/F208)</f>
        <v/>
      </c>
      <c r="O208" s="47" t="n"/>
    </row>
    <row r="209">
      <c r="B209" s="46" t="n"/>
      <c r="C209" s="47" t="n"/>
      <c r="D209" s="47" t="n"/>
      <c r="E209" s="48" t="n"/>
      <c r="F209" s="49" t="n"/>
      <c r="G209" s="50" t="n"/>
      <c r="H209" s="48" t="n"/>
      <c r="I209" s="48" t="n"/>
      <c r="J209" s="44">
        <f>IF(E209="","",N(G209)*'Hourly Pay Calculator'!$C$9)</f>
        <v/>
      </c>
      <c r="K209" s="44">
        <f>IF(E209="","",E209-N(H209)-N(I209)-J209)</f>
        <v/>
      </c>
      <c r="L209" s="44">
        <f>IF(E209="","",MAX(0,K209)*'Hourly Pay Calculator'!$C$13*'Hourly Pay Calculator'!$C$12)</f>
        <v/>
      </c>
      <c r="M209" s="44">
        <f>IF(E209="","",K209-L209)</f>
        <v/>
      </c>
      <c r="N209" s="45">
        <f>IF(OR(E209="",N(F209)=0),"",M209/F209)</f>
        <v/>
      </c>
      <c r="O209" s="47" t="n"/>
    </row>
    <row r="210">
      <c r="B210" s="46" t="n"/>
      <c r="C210" s="47" t="n"/>
      <c r="D210" s="47" t="n"/>
      <c r="E210" s="48" t="n"/>
      <c r="F210" s="49" t="n"/>
      <c r="G210" s="50" t="n"/>
      <c r="H210" s="48" t="n"/>
      <c r="I210" s="48" t="n"/>
      <c r="J210" s="44">
        <f>IF(E210="","",N(G210)*'Hourly Pay Calculator'!$C$9)</f>
        <v/>
      </c>
      <c r="K210" s="44">
        <f>IF(E210="","",E210-N(H210)-N(I210)-J210)</f>
        <v/>
      </c>
      <c r="L210" s="44">
        <f>IF(E210="","",MAX(0,K210)*'Hourly Pay Calculator'!$C$13*'Hourly Pay Calculator'!$C$12)</f>
        <v/>
      </c>
      <c r="M210" s="44">
        <f>IF(E210="","",K210-L210)</f>
        <v/>
      </c>
      <c r="N210" s="45">
        <f>IF(OR(E210="",N(F210)=0),"",M210/F210)</f>
        <v/>
      </c>
      <c r="O210" s="47" t="n"/>
    </row>
    <row r="211">
      <c r="B211" s="46" t="n"/>
      <c r="C211" s="47" t="n"/>
      <c r="D211" s="47" t="n"/>
      <c r="E211" s="48" t="n"/>
      <c r="F211" s="49" t="n"/>
      <c r="G211" s="50" t="n"/>
      <c r="H211" s="48" t="n"/>
      <c r="I211" s="48" t="n"/>
      <c r="J211" s="44">
        <f>IF(E211="","",N(G211)*'Hourly Pay Calculator'!$C$9)</f>
        <v/>
      </c>
      <c r="K211" s="44">
        <f>IF(E211="","",E211-N(H211)-N(I211)-J211)</f>
        <v/>
      </c>
      <c r="L211" s="44">
        <f>IF(E211="","",MAX(0,K211)*'Hourly Pay Calculator'!$C$13*'Hourly Pay Calculator'!$C$12)</f>
        <v/>
      </c>
      <c r="M211" s="44">
        <f>IF(E211="","",K211-L211)</f>
        <v/>
      </c>
      <c r="N211" s="45">
        <f>IF(OR(E211="",N(F211)=0),"",M211/F211)</f>
        <v/>
      </c>
      <c r="O211" s="47" t="n"/>
    </row>
    <row r="212">
      <c r="B212" s="46" t="n"/>
      <c r="C212" s="47" t="n"/>
      <c r="D212" s="47" t="n"/>
      <c r="E212" s="48" t="n"/>
      <c r="F212" s="49" t="n"/>
      <c r="G212" s="50" t="n"/>
      <c r="H212" s="48" t="n"/>
      <c r="I212" s="48" t="n"/>
      <c r="J212" s="44">
        <f>IF(E212="","",N(G212)*'Hourly Pay Calculator'!$C$9)</f>
        <v/>
      </c>
      <c r="K212" s="44">
        <f>IF(E212="","",E212-N(H212)-N(I212)-J212)</f>
        <v/>
      </c>
      <c r="L212" s="44">
        <f>IF(E212="","",MAX(0,K212)*'Hourly Pay Calculator'!$C$13*'Hourly Pay Calculator'!$C$12)</f>
        <v/>
      </c>
      <c r="M212" s="44">
        <f>IF(E212="","",K212-L212)</f>
        <v/>
      </c>
      <c r="N212" s="45">
        <f>IF(OR(E212="",N(F212)=0),"",M212/F212)</f>
        <v/>
      </c>
      <c r="O212" s="47" t="n"/>
    </row>
    <row r="213">
      <c r="B213" s="46" t="n"/>
      <c r="C213" s="47" t="n"/>
      <c r="D213" s="47" t="n"/>
      <c r="E213" s="48" t="n"/>
      <c r="F213" s="49" t="n"/>
      <c r="G213" s="50" t="n"/>
      <c r="H213" s="48" t="n"/>
      <c r="I213" s="48" t="n"/>
      <c r="J213" s="44">
        <f>IF(E213="","",N(G213)*'Hourly Pay Calculator'!$C$9)</f>
        <v/>
      </c>
      <c r="K213" s="44">
        <f>IF(E213="","",E213-N(H213)-N(I213)-J213)</f>
        <v/>
      </c>
      <c r="L213" s="44">
        <f>IF(E213="","",MAX(0,K213)*'Hourly Pay Calculator'!$C$13*'Hourly Pay Calculator'!$C$12)</f>
        <v/>
      </c>
      <c r="M213" s="44">
        <f>IF(E213="","",K213-L213)</f>
        <v/>
      </c>
      <c r="N213" s="45">
        <f>IF(OR(E213="",N(F213)=0),"",M213/F213)</f>
        <v/>
      </c>
      <c r="O213" s="47" t="n"/>
    </row>
    <row r="214">
      <c r="B214" s="46" t="n"/>
      <c r="C214" s="47" t="n"/>
      <c r="D214" s="47" t="n"/>
      <c r="E214" s="48" t="n"/>
      <c r="F214" s="49" t="n"/>
      <c r="G214" s="50" t="n"/>
      <c r="H214" s="48" t="n"/>
      <c r="I214" s="48" t="n"/>
      <c r="J214" s="44">
        <f>IF(E214="","",N(G214)*'Hourly Pay Calculator'!$C$9)</f>
        <v/>
      </c>
      <c r="K214" s="44">
        <f>IF(E214="","",E214-N(H214)-N(I214)-J214)</f>
        <v/>
      </c>
      <c r="L214" s="44">
        <f>IF(E214="","",MAX(0,K214)*'Hourly Pay Calculator'!$C$13*'Hourly Pay Calculator'!$C$12)</f>
        <v/>
      </c>
      <c r="M214" s="44">
        <f>IF(E214="","",K214-L214)</f>
        <v/>
      </c>
      <c r="N214" s="45">
        <f>IF(OR(E214="",N(F214)=0),"",M214/F214)</f>
        <v/>
      </c>
      <c r="O214" s="47" t="n"/>
    </row>
    <row r="215">
      <c r="B215" s="46" t="n"/>
      <c r="C215" s="47" t="n"/>
      <c r="D215" s="47" t="n"/>
      <c r="E215" s="48" t="n"/>
      <c r="F215" s="49" t="n"/>
      <c r="G215" s="50" t="n"/>
      <c r="H215" s="48" t="n"/>
      <c r="I215" s="48" t="n"/>
      <c r="J215" s="44">
        <f>IF(E215="","",N(G215)*'Hourly Pay Calculator'!$C$9)</f>
        <v/>
      </c>
      <c r="K215" s="44">
        <f>IF(E215="","",E215-N(H215)-N(I215)-J215)</f>
        <v/>
      </c>
      <c r="L215" s="44">
        <f>IF(E215="","",MAX(0,K215)*'Hourly Pay Calculator'!$C$13*'Hourly Pay Calculator'!$C$12)</f>
        <v/>
      </c>
      <c r="M215" s="44">
        <f>IF(E215="","",K215-L215)</f>
        <v/>
      </c>
      <c r="N215" s="45">
        <f>IF(OR(E215="",N(F215)=0),"",M215/F215)</f>
        <v/>
      </c>
      <c r="O215" s="47" t="n"/>
    </row>
    <row r="216">
      <c r="B216" s="46" t="n"/>
      <c r="C216" s="47" t="n"/>
      <c r="D216" s="47" t="n"/>
      <c r="E216" s="48" t="n"/>
      <c r="F216" s="49" t="n"/>
      <c r="G216" s="50" t="n"/>
      <c r="H216" s="48" t="n"/>
      <c r="I216" s="48" t="n"/>
      <c r="J216" s="44">
        <f>IF(E216="","",N(G216)*'Hourly Pay Calculator'!$C$9)</f>
        <v/>
      </c>
      <c r="K216" s="44">
        <f>IF(E216="","",E216-N(H216)-N(I216)-J216)</f>
        <v/>
      </c>
      <c r="L216" s="44">
        <f>IF(E216="","",MAX(0,K216)*'Hourly Pay Calculator'!$C$13*'Hourly Pay Calculator'!$C$12)</f>
        <v/>
      </c>
      <c r="M216" s="44">
        <f>IF(E216="","",K216-L216)</f>
        <v/>
      </c>
      <c r="N216" s="45">
        <f>IF(OR(E216="",N(F216)=0),"",M216/F216)</f>
        <v/>
      </c>
      <c r="O216" s="47" t="n"/>
    </row>
    <row r="217">
      <c r="B217" s="46" t="n"/>
      <c r="C217" s="47" t="n"/>
      <c r="D217" s="47" t="n"/>
      <c r="E217" s="48" t="n"/>
      <c r="F217" s="49" t="n"/>
      <c r="G217" s="50" t="n"/>
      <c r="H217" s="48" t="n"/>
      <c r="I217" s="48" t="n"/>
      <c r="J217" s="44">
        <f>IF(E217="","",N(G217)*'Hourly Pay Calculator'!$C$9)</f>
        <v/>
      </c>
      <c r="K217" s="44">
        <f>IF(E217="","",E217-N(H217)-N(I217)-J217)</f>
        <v/>
      </c>
      <c r="L217" s="44">
        <f>IF(E217="","",MAX(0,K217)*'Hourly Pay Calculator'!$C$13*'Hourly Pay Calculator'!$C$12)</f>
        <v/>
      </c>
      <c r="M217" s="44">
        <f>IF(E217="","",K217-L217)</f>
        <v/>
      </c>
      <c r="N217" s="45">
        <f>IF(OR(E217="",N(F217)=0),"",M217/F217)</f>
        <v/>
      </c>
      <c r="O217" s="47" t="n"/>
    </row>
    <row r="218">
      <c r="B218" s="46" t="n"/>
      <c r="C218" s="47" t="n"/>
      <c r="D218" s="47" t="n"/>
      <c r="E218" s="48" t="n"/>
      <c r="F218" s="49" t="n"/>
      <c r="G218" s="50" t="n"/>
      <c r="H218" s="48" t="n"/>
      <c r="I218" s="48" t="n"/>
      <c r="J218" s="44">
        <f>IF(E218="","",N(G218)*'Hourly Pay Calculator'!$C$9)</f>
        <v/>
      </c>
      <c r="K218" s="44">
        <f>IF(E218="","",E218-N(H218)-N(I218)-J218)</f>
        <v/>
      </c>
      <c r="L218" s="44">
        <f>IF(E218="","",MAX(0,K218)*'Hourly Pay Calculator'!$C$13*'Hourly Pay Calculator'!$C$12)</f>
        <v/>
      </c>
      <c r="M218" s="44">
        <f>IF(E218="","",K218-L218)</f>
        <v/>
      </c>
      <c r="N218" s="45">
        <f>IF(OR(E218="",N(F218)=0),"",M218/F218)</f>
        <v/>
      </c>
      <c r="O218" s="47" t="n"/>
    </row>
    <row r="219">
      <c r="B219" s="46" t="n"/>
      <c r="C219" s="47" t="n"/>
      <c r="D219" s="47" t="n"/>
      <c r="E219" s="48" t="n"/>
      <c r="F219" s="49" t="n"/>
      <c r="G219" s="50" t="n"/>
      <c r="H219" s="48" t="n"/>
      <c r="I219" s="48" t="n"/>
      <c r="J219" s="44">
        <f>IF(E219="","",N(G219)*'Hourly Pay Calculator'!$C$9)</f>
        <v/>
      </c>
      <c r="K219" s="44">
        <f>IF(E219="","",E219-N(H219)-N(I219)-J219)</f>
        <v/>
      </c>
      <c r="L219" s="44">
        <f>IF(E219="","",MAX(0,K219)*'Hourly Pay Calculator'!$C$13*'Hourly Pay Calculator'!$C$12)</f>
        <v/>
      </c>
      <c r="M219" s="44">
        <f>IF(E219="","",K219-L219)</f>
        <v/>
      </c>
      <c r="N219" s="45">
        <f>IF(OR(E219="",N(F219)=0),"",M219/F219)</f>
        <v/>
      </c>
      <c r="O219" s="47" t="n"/>
    </row>
    <row r="220">
      <c r="B220" s="46" t="n"/>
      <c r="C220" s="47" t="n"/>
      <c r="D220" s="47" t="n"/>
      <c r="E220" s="48" t="n"/>
      <c r="F220" s="49" t="n"/>
      <c r="G220" s="50" t="n"/>
      <c r="H220" s="48" t="n"/>
      <c r="I220" s="48" t="n"/>
      <c r="J220" s="44">
        <f>IF(E220="","",N(G220)*'Hourly Pay Calculator'!$C$9)</f>
        <v/>
      </c>
      <c r="K220" s="44">
        <f>IF(E220="","",E220-N(H220)-N(I220)-J220)</f>
        <v/>
      </c>
      <c r="L220" s="44">
        <f>IF(E220="","",MAX(0,K220)*'Hourly Pay Calculator'!$C$13*'Hourly Pay Calculator'!$C$12)</f>
        <v/>
      </c>
      <c r="M220" s="44">
        <f>IF(E220="","",K220-L220)</f>
        <v/>
      </c>
      <c r="N220" s="45">
        <f>IF(OR(E220="",N(F220)=0),"",M220/F220)</f>
        <v/>
      </c>
      <c r="O220" s="47" t="n"/>
    </row>
  </sheetData>
  <mergeCells count="8">
    <mergeCell ref="B8"/>
    <mergeCell ref="B9"/>
    <mergeCell ref="B7"/>
    <mergeCell ref="B11"/>
    <mergeCell ref="B6"/>
    <mergeCell ref="B3:O3"/>
    <mergeCell ref="B10"/>
    <mergeCell ref="B15:O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2026-10-20T07:15:59Z</dcterms:created>
  <dcterms:modified xmlns:dcterms="http://purl.org/dc/terms/" xmlns:xsi="http://www.w3.org/2001/XMLSchema-instance" xsi:type="dcterms:W3CDTF">2026-10-20T07:16:00Z</dcterms:modified>
</cp:coreProperties>
</file>